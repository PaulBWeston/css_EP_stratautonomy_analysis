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paul/Documents/git_repos/css_EP_stratautonomy_analysis/"/>
    </mc:Choice>
  </mc:AlternateContent>
  <xr:revisionPtr revIDLastSave="0" documentId="13_ncr:40009_{6855C5B8-F8FD-EB48-8997-6417EC372FE4}" xr6:coauthVersionLast="47" xr6:coauthVersionMax="47" xr10:uidLastSave="{00000000-0000-0000-0000-000000000000}"/>
  <bookViews>
    <workbookView xWindow="380" yWindow="460" windowWidth="28040" windowHeight="17040"/>
  </bookViews>
  <sheets>
    <sheet name="europarl_speakers_random_v1" sheetId="1" r:id="rId1"/>
    <sheet name="Sheet1" sheetId="2" r:id="rId2"/>
    <sheet name="Sheet2" sheetId="3" r:id="rId3"/>
  </sheet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purl.oclc.org/ooxml/spreadsheetml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" i="2"/>
</calcChain>
</file>

<file path=xl/sharedStrings.xml><?xml version="1.0" encoding="utf-8"?>
<sst xmlns="http://purl.oclc.org/ooxml/spreadsheetml/main" count="4206" uniqueCount="1122">
  <si>
    <t>speaker_id</t>
  </si>
  <si>
    <t>speaker_name</t>
  </si>
  <si>
    <t>country</t>
  </si>
  <si>
    <t>eu_political_group_id</t>
  </si>
  <si>
    <t>eu_political_group_role</t>
  </si>
  <si>
    <t>eu_political_group_valid_from</t>
  </si>
  <si>
    <t>eu_political_group_valid_to</t>
  </si>
  <si>
    <t>national_party_raw</t>
  </si>
  <si>
    <t>Ton DIEPEVEEN</t>
  </si>
  <si>
    <t>http://publications.europa.eu/resource/authority/country/NLD</t>
  </si>
  <si>
    <t>org/7150</t>
  </si>
  <si>
    <t>def/ep-roles/MEMBER</t>
  </si>
  <si>
    <t>Markus FERBER</t>
  </si>
  <si>
    <t>http://publications.europa.eu/resource/authority/country/DEU</t>
  </si>
  <si>
    <t>org/7018</t>
  </si>
  <si>
    <t>Ivaylo VALCHEV</t>
  </si>
  <si>
    <t>http://publications.europa.eu/resource/authority/country/BGR</t>
  </si>
  <si>
    <t>org/7037</t>
  </si>
  <si>
    <t>def/ep-roles/MEMBER_BUREAU</t>
  </si>
  <si>
    <t>Alexandra GEESE</t>
  </si>
  <si>
    <t>org/7028</t>
  </si>
  <si>
    <t>Idoia VILLANUEVA RUIZ</t>
  </si>
  <si>
    <t>http://publications.europa.eu/resource/authority/country/ESP</t>
  </si>
  <si>
    <t>org/6259</t>
  </si>
  <si>
    <t>Francesco VENTOLA</t>
  </si>
  <si>
    <t>http://publications.europa.eu/resource/authority/country/ITA</t>
  </si>
  <si>
    <t>Angelika WINZIG</t>
  </si>
  <si>
    <t>http://publications.europa.eu/resource/authority/country/AUT</t>
  </si>
  <si>
    <t>Othmar KARAS</t>
  </si>
  <si>
    <t>org/5153</t>
  </si>
  <si>
    <t>Juan Carlos GIRAUTA VIDAL</t>
  </si>
  <si>
    <t>Manuela RIPA</t>
  </si>
  <si>
    <t>Sebastian EVERDING</t>
  </si>
  <si>
    <t>org/7036</t>
  </si>
  <si>
    <t>Nicolae »òTEFƒÇNU»öƒÇ</t>
  </si>
  <si>
    <t>http://publications.europa.eu/resource/authority/country/ROU</t>
  </si>
  <si>
    <t>Hans NEUHOFF</t>
  </si>
  <si>
    <t>org/7151</t>
  </si>
  <si>
    <t>Annalisa CORRADO</t>
  </si>
  <si>
    <t>org/7038</t>
  </si>
  <si>
    <t>Danu≈°e NERUDOV√Å</t>
  </si>
  <si>
    <t>http://publications.europa.eu/resource/authority/country/CZE</t>
  </si>
  <si>
    <t>Andrey NOVAKOV</t>
  </si>
  <si>
    <t>Tomasz BUCZEK</t>
  </si>
  <si>
    <t>http://publications.europa.eu/resource/authority/country/POL</t>
  </si>
  <si>
    <t>Lukas SIEPER</t>
  </si>
  <si>
    <t>org/7035</t>
  </si>
  <si>
    <t>Maria ZACHARIA</t>
  </si>
  <si>
    <t>http://publications.europa.eu/resource/authority/country/GRC</t>
  </si>
  <si>
    <t>org/6561</t>
  </si>
  <si>
    <t>Siegfried MURE≈ûAN</t>
  </si>
  <si>
    <t>def/ep-roles/CHAIR_VICE</t>
  </si>
  <si>
    <t>Jo√£o OLIVEIRA</t>
  </si>
  <si>
    <t>http://publications.europa.eu/resource/authority/country/PRT</t>
  </si>
  <si>
    <t>Oihane AGIRREGOITIA MART√çNEZ</t>
  </si>
  <si>
    <t>Arkadiusz MULARCZYK</t>
  </si>
  <si>
    <t>Esteban GONZ√ÅLEZ PONS</t>
  </si>
  <si>
    <t>Malika SOREL</t>
  </si>
  <si>
    <t>http://publications.europa.eu/resource/authority/country/FRA</t>
  </si>
  <si>
    <t>Laurence FARRENG</t>
  </si>
  <si>
    <t>Roberts Zƒ™LE</t>
  </si>
  <si>
    <t>http://publications.europa.eu/resource/authority/country/LVA</t>
  </si>
  <si>
    <t>Riho TERRAS</t>
  </si>
  <si>
    <t>http://publications.europa.eu/resource/authority/country/EST</t>
  </si>
  <si>
    <t>Liudas MA≈ΩYLIS</t>
  </si>
  <si>
    <t>http://publications.europa.eu/resource/authority/country/LTU</t>
  </si>
  <si>
    <t>Susanna CECCARDI</t>
  </si>
  <si>
    <t>Jeannette BALJEU</t>
  </si>
  <si>
    <t>Barry ANDREWS</t>
  </si>
  <si>
    <t>http://publications.europa.eu/resource/authority/country/IRL</t>
  </si>
  <si>
    <t>Charlie WEIMERS</t>
  </si>
  <si>
    <t>http://publications.europa.eu/resource/authority/country/SWE</t>
  </si>
  <si>
    <t>Roberta METSOLA</t>
  </si>
  <si>
    <t>http://publications.europa.eu/resource/authority/country/MLT</t>
  </si>
  <si>
    <t>Tobiasz BOCHE≈ÉSKI</t>
  </si>
  <si>
    <t>Diana IOVANOVICI ≈ûO≈ûOACƒÇ</t>
  </si>
  <si>
    <t>Joachim Stanis≈Çaw BRUDZI≈ÉSKI</t>
  </si>
  <si>
    <t>Nicol√°s GONZ√ÅLEZ CASARES</t>
  </si>
  <si>
    <t>Ladislav ILƒåIƒÜ</t>
  </si>
  <si>
    <t>http://publications.europa.eu/resource/authority/country/HRV</t>
  </si>
  <si>
    <t>org/5148</t>
  </si>
  <si>
    <t>Alexander JUNGBLUTH</t>
  </si>
  <si>
    <t>France JAMET</t>
  </si>
  <si>
    <t>Virginijus SINKEVIƒåIUS</t>
  </si>
  <si>
    <t>Loucas FOURLAS</t>
  </si>
  <si>
    <t>http://publications.europa.eu/resource/authority/country/CYP</t>
  </si>
  <si>
    <t>Estrella GAL√ÅN</t>
  </si>
  <si>
    <t>Herbert DORFMANN</t>
  </si>
  <si>
    <t>Carlo FIDANZA</t>
  </si>
  <si>
    <t>Krzysztof ≈öMISZEK</t>
  </si>
  <si>
    <t>Arno BAUSEMER</t>
  </si>
  <si>
    <t>≈ûerban Dimitrie STURDZA</t>
  </si>
  <si>
    <t>Roman HAIDER</t>
  </si>
  <si>
    <t>Tom BERENDSEN</t>
  </si>
  <si>
    <t>Pina PICIERNO</t>
  </si>
  <si>
    <t>Mika AALTOLA</t>
  </si>
  <si>
    <t>http://publications.europa.eu/resource/authority/country/FIN</t>
  </si>
  <si>
    <t>Nathalie LOISEAU</t>
  </si>
  <si>
    <t>Sebastian TYNKKYNEN</t>
  </si>
  <si>
    <t>Nils U≈†AKOVS</t>
  </si>
  <si>
    <t>Grzegorz BRAUN</t>
  </si>
  <si>
    <t>Bernard GUETTA</t>
  </si>
  <si>
    <t>Dan BARNA</t>
  </si>
  <si>
    <t>David MCALLISTER</t>
  </si>
  <si>
    <t>Mary KHAN</t>
  </si>
  <si>
    <t>Gabriel MATO</t>
  </si>
  <si>
    <t>Idoia MENDIA</t>
  </si>
  <si>
    <t>Andr√°s Tivadar KULJA</t>
  </si>
  <si>
    <t>http://publications.europa.eu/resource/authority/country/HUN</t>
  </si>
  <si>
    <t>Georg MAYER</t>
  </si>
  <si>
    <t>Evelyn REGNER</t>
  </si>
  <si>
    <t>Alessandro PANZA</t>
  </si>
  <si>
    <t>org/5588</t>
  </si>
  <si>
    <t>Pascal ARIMONT</t>
  </si>
  <si>
    <t>http://publications.europa.eu/resource/authority/country/BEL</t>
  </si>
  <si>
    <t>M√©lanie DISDIER</t>
  </si>
  <si>
    <t>Lynn BOYLAN</t>
  </si>
  <si>
    <t>Moritz K√ñRNER</t>
  </si>
  <si>
    <t>Val√©rie HAYER</t>
  </si>
  <si>
    <t>def/ep-roles/CHAIR</t>
  </si>
  <si>
    <t>Emil RADEV</t>
  </si>
  <si>
    <t>Maria GRAPINI</t>
  </si>
  <si>
    <t>Rapha√´l GLUCKSMANN</t>
  </si>
  <si>
    <t>Se√°n KELLY</t>
  </si>
  <si>
    <t>Alessandro CIRIANI</t>
  </si>
  <si>
    <t>Mounir SATOURI</t>
  </si>
  <si>
    <t>Jutta PAULUS</t>
  </si>
  <si>
    <t>Luis-Vicen»õiu LAZARUS</t>
  </si>
  <si>
    <t>Laurent CASTILLO</t>
  </si>
  <si>
    <t>Georgios AFTIAS</t>
  </si>
  <si>
    <t>Anders VISTISEN</t>
  </si>
  <si>
    <t>http://publications.europa.eu/resource/authority/country/DNK</t>
  </si>
  <si>
    <t>Nikolaj VILLUMSEN</t>
  </si>
  <si>
    <t>Micha≈Ç SZCZERBA</t>
  </si>
  <si>
    <t>Rainer WIELAND</t>
  </si>
  <si>
    <t>Tomas TOB√â</t>
  </si>
  <si>
    <t>Leoluca ORLANDO</t>
  </si>
  <si>
    <t>Anne-Sophie FRIGOUT</t>
  </si>
  <si>
    <t>Michalis HADJIPANTELA</t>
  </si>
  <si>
    <t>Francisco Jos√© MILL√ÅN MON</t>
  </si>
  <si>
    <t>Ewa KOPACZ</t>
  </si>
  <si>
    <t>Sven MIKSER</t>
  </si>
  <si>
    <t>Gordan BOSANAC</t>
  </si>
  <si>
    <t>Victor NEGRESCU</t>
  </si>
  <si>
    <t>Ciaran MULLOOLY</t>
  </si>
  <si>
    <t>Gunnar BECK</t>
  </si>
  <si>
    <t>org/5152</t>
  </si>
  <si>
    <t>Matja≈æ NEMEC</t>
  </si>
  <si>
    <t>http://publications.europa.eu/resource/authority/country/SVN</t>
  </si>
  <si>
    <t>Marie-Agnes STRACK-ZIMMERMANN</t>
  </si>
  <si>
    <t>Anna ZALEWSKA</t>
  </si>
  <si>
    <t>Jorge BUXAD√â VILLALBA</t>
  </si>
  <si>
    <t>Younous OMARJEE</t>
  </si>
  <si>
    <t>Micha≈Ç KOBOSKO</t>
  </si>
  <si>
    <t>Joanna SCHEURING-WIELGUS</t>
  </si>
  <si>
    <t>Elena NEVADO DEL CAMPO</t>
  </si>
  <si>
    <t>Waldemar BUDA</t>
  </si>
  <si>
    <t>Heidi HAUTALA</t>
  </si>
  <si>
    <t>org/5155</t>
  </si>
  <si>
    <t>Manon AUBRY</t>
  </si>
  <si>
    <t>def/ep-roles/CHAIR_CO</t>
  </si>
  <si>
    <t>Francesca DONATO</t>
  </si>
  <si>
    <t>Martin HLAV√ÅƒåEK</t>
  </si>
  <si>
    <t>Jos√© CEPEDA</t>
  </si>
  <si>
    <t>Sander SMIT</t>
  </si>
  <si>
    <t>Hanna GEDIN</t>
  </si>
  <si>
    <t>Gheorghe PIPEREA</t>
  </si>
  <si>
    <t>Christel SCHALDEMOSE</t>
  </si>
  <si>
    <t>Javi L√ìPEZ</t>
  </si>
  <si>
    <t>Antonella SBERNA</t>
  </si>
  <si>
    <t>Geadis GEADI</t>
  </si>
  <si>
    <t>Marc BOTENGA</t>
  </si>
  <si>
    <t>Per CLAUSEN</t>
  </si>
  <si>
    <t>Marit MAIJ</t>
  </si>
  <si>
    <t>Piotr M√úLLER</t>
  </si>
  <si>
    <t>Elena YONCHEVA</t>
  </si>
  <si>
    <t>Marta TEMIDO</t>
  </si>
  <si>
    <t>Bert-Jan RUISSEN</t>
  </si>
  <si>
    <t>Ingeborg TER LAAK</t>
  </si>
  <si>
    <t>Maria-Manuel LEIT√ÉO-MARQUES</t>
  </si>
  <si>
    <t>org/5154</t>
  </si>
  <si>
    <t>Jan-Christoph OETJEN</t>
  </si>
  <si>
    <t>Christophe GRUDLER</t>
  </si>
  <si>
    <t>Maria OHISALO</t>
  </si>
  <si>
    <t>Reinhold LOPATKA</t>
  </si>
  <si>
    <t>Ana MIRANDA PAZ</t>
  </si>
  <si>
    <t>Filip TUREK</t>
  </si>
  <si>
    <t>Julien SANCHEZ</t>
  </si>
  <si>
    <t>Ivan Vilibor SINƒåIƒÜ</t>
  </si>
  <si>
    <t>Lina G√ÅLVEZ</t>
  </si>
  <si>
    <t>Martin HOJS√çK</t>
  </si>
  <si>
    <t>http://publications.europa.eu/resource/authority/country/SVK</t>
  </si>
  <si>
    <t>Juan Fernando L√ìPEZ AGUILAR</t>
  </si>
  <si>
    <t>Friedrich P√úRNER</t>
  </si>
  <si>
    <t>Rihards KOLS</t>
  </si>
  <si>
    <t>Carmen CRESPO D√çAZ</t>
  </si>
  <si>
    <t>Jan-Peter WARNKE</t>
  </si>
  <si>
    <t>Bart≈Çomiej SIENKIEWICZ</t>
  </si>
  <si>
    <t>Klara DOSTALOVA</t>
  </si>
  <si>
    <t>Fran√ßois-Xavier BELLAMY</t>
  </si>
  <si>
    <t>Vladim√≠r BILƒå√çK</t>
  </si>
  <si>
    <t>Tom√°≈° ZDECHOVSK√ù</t>
  </si>
  <si>
    <t>Billy KELLEHER</t>
  </si>
  <si>
    <t>Thijs REUTEN</t>
  </si>
  <si>
    <t>S√©verine WERBROUCK</t>
  </si>
  <si>
    <t>Erik MARQUARDT</t>
  </si>
  <si>
    <t>Nicola DANTI</t>
  </si>
  <si>
    <t>org/5704</t>
  </si>
  <si>
    <t>Assita KANKO</t>
  </si>
  <si>
    <t>Dolors MONTSERRAT</t>
  </si>
  <si>
    <t>Henna VIRKKUNEN</t>
  </si>
  <si>
    <t>Mick WALLACE</t>
  </si>
  <si>
    <t>Diana RIBA I GINER</t>
  </si>
  <si>
    <t>Nikolina BRNJAC</t>
  </si>
  <si>
    <t>St√©phanie YON-COURTIN</t>
  </si>
  <si>
    <t>Miriam LEXMANN</t>
  </si>
  <si>
    <t>Tomasz FROELICH</t>
  </si>
  <si>
    <t>Costas MAVRIDES</t>
  </si>
  <si>
    <t>Joachim STREIT</t>
  </si>
  <si>
    <t>Thierry MARIANI</t>
  </si>
  <si>
    <t>≈Ωeljana ZOVKO</t>
  </si>
  <si>
    <t>Carlos ZORRINHO</t>
  </si>
  <si>
    <t>Andreas SCHWAB</t>
  </si>
  <si>
    <t>Pablo ARIAS ECHEVERR√çA</t>
  </si>
  <si>
    <t>Borja GIM√âNEZ LARRAZ</t>
  </si>
  <si>
    <t>Petra STEGER</t>
  </si>
  <si>
    <t>Axel VOSS</t>
  </si>
  <si>
    <t>Eugen TOMAC</t>
  </si>
  <si>
    <t>Andreas SCHIEDER</t>
  </si>
  <si>
    <t>Hilde VAUTMANS</t>
  </si>
  <si>
    <t>Andrey KOVATCHEV</t>
  </si>
  <si>
    <t>Lukas MANDL</t>
  </si>
  <si>
    <t>Barry COWEN</t>
  </si>
  <si>
    <t>Marco TARQUINIO</t>
  </si>
  <si>
    <t>Sandra KALNIETE</t>
  </si>
  <si>
    <t>ƒΩubo≈° BLAHA</t>
  </si>
  <si>
    <t>Maria Angela DANZ√å</t>
  </si>
  <si>
    <t>Catherine AMALRIC</t>
  </si>
  <si>
    <t>Nina CARBERRY</t>
  </si>
  <si>
    <t>Sabine VERHEYEN</t>
  </si>
  <si>
    <t>Dan-≈ûtefan MOTREANU</t>
  </si>
  <si>
    <t>Thomas PELLERIN-CARLIN</t>
  </si>
  <si>
    <t>Sophia IN 'T VELD</t>
  </si>
  <si>
    <t>Ond≈ôej KOL√Å≈ò</t>
  </si>
  <si>
    <t>Vasile D√éNCU</t>
  </si>
  <si>
    <t>Niels GEUKING</t>
  </si>
  <si>
    <t>Tam√°s DEUTSCH</t>
  </si>
  <si>
    <t>Konstantinos ARVANITIS</t>
  </si>
  <si>
    <t>Ljudmila NOVAK</t>
  </si>
  <si>
    <t>Jessika VAN LEEUWEN</t>
  </si>
  <si>
    <t>Alexandra MEHNERT</t>
  </si>
  <si>
    <t>Elisa FERREIRA</t>
  </si>
  <si>
    <t>org/4284</t>
  </si>
  <si>
    <t>Cyrus ENGERER</t>
  </si>
  <si>
    <t>Hannes HEIDE</t>
  </si>
  <si>
    <t>Lara COMI</t>
  </si>
  <si>
    <t>Evin INCIR</t>
  </si>
  <si>
    <t>Marcin SYPNIEWSKI</t>
  </si>
  <si>
    <t>Bruno TOBBACK</t>
  </si>
  <si>
    <t>Julie RECHAGNEUX</t>
  </si>
  <si>
    <t>Beatrice TIMGREN</t>
  </si>
  <si>
    <t>Ond≈ôej KRUT√çLEK</t>
  </si>
  <si>
    <t>Sophia KIRCHER</t>
  </si>
  <si>
    <t>Dirk GOTINK</t>
  </si>
  <si>
    <t>Jeroen LENAERS</t>
  </si>
  <si>
    <t>Nicolas BAY</t>
  </si>
  <si>
    <t>Karin KARLSBRO</t>
  </si>
  <si>
    <t>Christine SCHNEIDER</t>
  </si>
  <si>
    <t>Fabio DE MASI</t>
  </si>
  <si>
    <t>Hel√©ne FRITZON</t>
  </si>
  <si>
    <t>Kate≈ôina KONEƒåN√Å</t>
  </si>
  <si>
    <t>Fabienne KELLER</t>
  </si>
  <si>
    <t>Francisco ASSIS</t>
  </si>
  <si>
    <t>Rosa ESTAR√ÄS FERRAGUT</t>
  </si>
  <si>
    <t>Marina KALJURAND</t>
  </si>
  <si>
    <t>Cristian TERHE≈û</t>
  </si>
  <si>
    <t>Isabel GARC√çA MU√ëOZ</t>
  </si>
  <si>
    <t>Catarina MARTINS</t>
  </si>
  <si>
    <t>Katri KULMUNI</t>
  </si>
  <si>
    <t>Carola RACKETE</t>
  </si>
  <si>
    <t>Dan J√òRGENSEN</t>
  </si>
  <si>
    <t>org/2953</t>
  </si>
  <si>
    <t>Anthony SMITH</t>
  </si>
  <si>
    <t>Dario NARDELLA</t>
  </si>
  <si>
    <t>Reinis POZ≈ÖAKS</t>
  </si>
  <si>
    <t>Ignazio Roberto MARINO</t>
  </si>
  <si>
    <t>Damian BOESELAGER</t>
  </si>
  <si>
    <t>Krzysztof HETMAN</t>
  </si>
  <si>
    <t>Sirpa PIETIK√ÑINEN</t>
  </si>
  <si>
    <t>Bruno GON√áALVES</t>
  </si>
  <si>
    <t>Rody TOLASSY</t>
  </si>
  <si>
    <t>Vytenis Povilas ANDRIUKAITIS</t>
  </si>
  <si>
    <t>Paulo CUNHA</t>
  </si>
  <si>
    <t>Marie DAUCHY</t>
  </si>
  <si>
    <t>Enik≈ë GY≈êRI</t>
  </si>
  <si>
    <t>M√©lissa CAMARA</t>
  </si>
  <si>
    <t>J√ºri RATAS</t>
  </si>
  <si>
    <t>Miapetra KUMPULA-NATRI</t>
  </si>
  <si>
    <t>Margaritis SCHINAS</t>
  </si>
  <si>
    <t>org/1533</t>
  </si>
  <si>
    <t>Laura BALLAR√çN CEREZA</t>
  </si>
  <si>
    <t>Petr BYSTRON</t>
  </si>
  <si>
    <t>Matej TONIN</t>
  </si>
  <si>
    <t>Pasquale TRIDICO</t>
  </si>
  <si>
    <t>Veronika VRECIONOV√Å</t>
  </si>
  <si>
    <t>Katrin LANGENSIEPEN</t>
  </si>
  <si>
    <t>Angelika NIEBLER</t>
  </si>
  <si>
    <t>Christian EHLER</t>
  </si>
  <si>
    <t>Michael BLOSS</t>
  </si>
  <si>
    <t>Milan UHR√çK</t>
  </si>
  <si>
    <t>ƒΩubica KARVA≈†OV√Å</t>
  </si>
  <si>
    <t>Alvise P√âREZ</t>
  </si>
  <si>
    <t>Rosa SERRANO SIERRA</t>
  </si>
  <si>
    <t>Marc ANGEL</t>
  </si>
  <si>
    <t>http://publications.europa.eu/resource/authority/country/LUX</t>
  </si>
  <si>
    <t>Camilla LAURETI</t>
  </si>
  <si>
    <t>Kathleen FUNCHION</t>
  </si>
  <si>
    <t>Malik AZMANI</t>
  </si>
  <si>
    <t>Zdzis≈Çaw KRASNODƒòBSKI</t>
  </si>
  <si>
    <t>Dimitrios PAPADIMOULIS</t>
  </si>
  <si>
    <t>Mireia BORR√ÅS PAB√ìN</t>
  </si>
  <si>
    <t>Marina MESURE</t>
  </si>
  <si>
    <t>Mohammed CHAHIM</t>
  </si>
  <si>
    <t>Salvatore DE MEO</t>
  </si>
  <si>
    <t>Sarah KNAFO</t>
  </si>
  <si>
    <t>Aleksandar NIKOLIC</t>
  </si>
  <si>
    <t>H√©lder SOUSA SILVA</t>
  </si>
  <si>
    <t>Kinga G√ÅL</t>
  </si>
  <si>
    <t>Micha≈Ç DWORCZYK</t>
  </si>
  <si>
    <t>Adam BIELAN</t>
  </si>
  <si>
    <t>Paolo INSELVINI</t>
  </si>
  <si>
    <t>Micha≈Ç WAWRYKIEWICZ</t>
  </si>
  <si>
    <t>Sebastian KRUIS</t>
  </si>
  <si>
    <t>Krzysztof BREJZA</t>
  </si>
  <si>
    <t>Sunƒçana GLAVAK</t>
  </si>
  <si>
    <t>Christophe BAY</t>
  </si>
  <si>
    <t>Nikos PAPANDREOU</t>
  </si>
  <si>
    <t>Radan KANEV</t>
  </si>
  <si>
    <t>Maciej WƒÑSIK</t>
  </si>
  <si>
    <t>Yannis MANIATIS</t>
  </si>
  <si>
    <t>Vilija BLINKEVIƒåI≈™Tƒñ</t>
  </si>
  <si>
    <t>Mairead MCGUINNESS</t>
  </si>
  <si>
    <t>Angel DZHAMBAZKI</t>
  </si>
  <si>
    <t>def/ep-roles/TREASURER_CO</t>
  </si>
  <si>
    <t>Jo√£o COTRIM DE FIGUEIREDO</t>
  </si>
  <si>
    <t>Sophie WILM√àS</t>
  </si>
  <si>
    <t>Tsvetelina PENKOVA</t>
  </si>
  <si>
    <t>Adri√°n V√ÅZQUEZ L√ÅZARA</t>
  </si>
  <si>
    <t>Ond≈ôej DOST√ÅL</t>
  </si>
  <si>
    <t>St√©phane BIJOUX</t>
  </si>
  <si>
    <t>Paulius SAUDARGAS</t>
  </si>
  <si>
    <t>Mariusz KAMI≈ÉSKI</t>
  </si>
  <si>
    <t>Sven SIMON</t>
  </si>
  <si>
    <t>Emma WIESNER</t>
  </si>
  <si>
    <t>Monika VANA</t>
  </si>
  <si>
    <t>Stefano CAVEDAGNA</t>
  </si>
  <si>
    <t>Pietro FIOCCHI</t>
  </si>
  <si>
    <t>Dimitris TSIODRAS</t>
  </si>
  <si>
    <t>Villy S√òVNDAL</t>
  </si>
  <si>
    <t>Isabella L√ñVIN</t>
  </si>
  <si>
    <t>Francisco GUERREIRO</t>
  </si>
  <si>
    <t>Elena DONAZZAN</t>
  </si>
  <si>
    <t>Nicola ZINGARETTI</t>
  </si>
  <si>
    <t>Murielle LAURENT</t>
  </si>
  <si>
    <t>Ivars IJABS</t>
  </si>
  <si>
    <t>Terry REINTKE</t>
  </si>
  <si>
    <t>Andrius KUBILIUS</t>
  </si>
  <si>
    <t>Abir AL-SAHLANI</t>
  </si>
  <si>
    <t>Petar VOLGIN</t>
  </si>
  <si>
    <t>Kira Marie PETER-HANSEN</t>
  </si>
  <si>
    <t>def/ep-roles/CHAIR_VICE_BUREAU_TREASURER</t>
  </si>
  <si>
    <t>Ant√≥nio T√ÇNGER CORR√äA</t>
  </si>
  <si>
    <t>Maria ARENA</t>
  </si>
  <si>
    <t>Jorge MART√çN FR√çAS</t>
  </si>
  <si>
    <t>Dick ERIXON</t>
  </si>
  <si>
    <t>Antonio DECARO</t>
  </si>
  <si>
    <t>Julien LEONARDELLI</t>
  </si>
  <si>
    <t>Anna ST√úRGKH</t>
  </si>
  <si>
    <t>Jo√£o PIMENTA LOPES</t>
  </si>
  <si>
    <t>Aurelijus VERYGA</t>
  </si>
  <si>
    <t>Helmut BRANDST√ÑTTER</t>
  </si>
  <si>
    <t>Ruggero RAZZA</t>
  </si>
  <si>
    <t>Valentina PALMISANO</t>
  </si>
  <si>
    <t>Marko VE≈†LIGAJ</t>
  </si>
  <si>
    <t>Josianne CUTAJAR</t>
  </si>
  <si>
    <t>S√©rgio GON√áALVES</t>
  </si>
  <si>
    <t>Karlo RESSLER</t>
  </si>
  <si>
    <t>Marcos ROS SEMPERE</t>
  </si>
  <si>
    <t>Petras GRA≈ΩULIS</t>
  </si>
  <si>
    <t>Regina DOHERTY</t>
  </si>
  <si>
    <t>Anna-Maja HENRIKSSON</t>
  </si>
  <si>
    <t>Ana Miguel PEDRO</t>
  </si>
  <si>
    <t>Vikt√≥ria FERENC</t>
  </si>
  <si>
    <t>Silvia SARDONE</t>
  </si>
  <si>
    <t>Michael GAHLER</t>
  </si>
  <si>
    <t>Dubravka ≈†UICA</t>
  </si>
  <si>
    <t>def/ep-roles/CHAIR_VICE_FIRST</t>
  </si>
  <si>
    <t>Nora JUNCO GARC√çA</t>
  </si>
  <si>
    <t>Denis NESCI</t>
  </si>
  <si>
    <t>Carlo CICCIOLI</t>
  </si>
  <si>
    <t>Emmanouil KEFALOGIANNIS</t>
  </si>
  <si>
    <t>Nicola PROCACCINI</t>
  </si>
  <si>
    <t>≈Åukasz KOHUT</t>
  </si>
  <si>
    <t>Nikos PAPPAS</t>
  </si>
  <si>
    <t>Johan NISSINEN</t>
  </si>
  <si>
    <t>Csaba D√ñM√ñT√ñR</t>
  </si>
  <si>
    <t>Christophe CLERGEAU</t>
  </si>
  <si>
    <t>Tineke STRIK</t>
  </si>
  <si>
    <t>Thomas WAITZ</t>
  </si>
  <si>
    <t>Isabel SERRA S√ÅNCHEZ</t>
  </si>
  <si>
    <t>Eugenia RODR√çGUEZ PALOP</t>
  </si>
  <si>
    <t>Giorgio GORI</t>
  </si>
  <si>
    <t>Virginie JORON</t>
  </si>
  <si>
    <t>Pedro MARQUES</t>
  </si>
  <si>
    <t>Kosma Z≈ÅOTOWSKI</t>
  </si>
  <si>
    <t>Ivan DAVID</t>
  </si>
  <si>
    <t>Charles GOERENS</t>
  </si>
  <si>
    <t>Sigrid FRIIS</t>
  </si>
  <si>
    <t>Gabriele BISCHOFF</t>
  </si>
  <si>
    <t>Andr√© FRANQUEIRA RODRIGUES</t>
  </si>
  <si>
    <t>Sebastiaan ST√ñTELER</t>
  </si>
  <si>
    <t>Catarina VIEIRA</t>
  </si>
  <si>
    <t>Romana JERKOVIƒÜ</t>
  </si>
  <si>
    <t>Josep BORRELL FONTELLES</t>
  </si>
  <si>
    <t>org/1534</t>
  </si>
  <si>
    <t>Helmut SCHOLZ</t>
  </si>
  <si>
    <t>Dennis RADTKE</t>
  </si>
  <si>
    <t>Paolo BORCHIA</t>
  </si>
  <si>
    <t>Engin EROGLU</t>
  </si>
  <si>
    <t>Izaskun BILBAO BARANDICA</t>
  </si>
  <si>
    <t>Vladimir PREBILIƒå</t>
  </si>
  <si>
    <t>Stephen Nikola BARTULICA</t>
  </si>
  <si>
    <t>Lucia YAR</t>
  </si>
  <si>
    <t>Stine BOSSE</t>
  </si>
  <si>
    <t>Sabrina REPP</t>
  </si>
  <si>
    <t>Raquel GARC√çA HERMIDA-VAN DER WALLE</t>
  </si>
  <si>
    <t>Aur√©lia BEIGNEUX</t>
  </si>
  <si>
    <t>Tomislav SOKOL</t>
  </si>
  <si>
    <t>Alex AGIUS SALIBA</t>
  </si>
  <si>
    <t>≈ûtefan MU≈ûOIU</t>
  </si>
  <si>
    <t>Iratxe GARC√çA P√âREZ</t>
  </si>
  <si>
    <t>Hannah NEUMANN</t>
  </si>
  <si>
    <t>Gilles PENNELLE</t>
  </si>
  <si>
    <t>Kim VAN SPARRENTAK</t>
  </si>
  <si>
    <t>Drago≈ü BENEA</t>
  </si>
  <si>
    <t>Emmanouil FRAGKOS</t>
  </si>
  <si>
    <t>Sebasti√£o BUGALHO</t>
  </si>
  <si>
    <t>Sara MATTHIEU</t>
  </si>
  <si>
    <t>Gabriella GERZSENYI</t>
  </si>
  <si>
    <t>Bart GROOTHUIS</t>
  </si>
  <si>
    <t>Bogdan RZO≈ÉCA</t>
  </si>
  <si>
    <t>Johan VAN OVERTVELDT</t>
  </si>
  <si>
    <t>Jordan BARDELLA</t>
  </si>
  <si>
    <t>Malin BJ√ñRK</t>
  </si>
  <si>
    <t>Alexander SELL</t>
  </si>
  <si>
    <t>Isabel CARVALHAIS</t>
  </si>
  <si>
    <t>Giuseppe LUPO</t>
  </si>
  <si>
    <t>Dan NICA</t>
  </si>
  <si>
    <t>Leila CHAIBI</t>
  </si>
  <si>
    <t>Patricia CHAGNON</t>
  </si>
  <si>
    <t>Yvan VEROUGSTRAETE</t>
  </si>
  <si>
    <t>√ñzlem DEMIREL</t>
  </si>
  <si>
    <t>Anna BONFRISCO</t>
  </si>
  <si>
    <t>Petras AU≈†TREVIƒåIUS</t>
  </si>
  <si>
    <t>Marie-Pierre VEDRENNE</t>
  </si>
  <si>
    <t>Siegbert Frank DROESE</t>
  </si>
  <si>
    <t>def/ep-roles/TREASURER</t>
  </si>
  <si>
    <t>Arash SAEIDI</t>
  </si>
  <si>
    <t>Alexandr VONDRA</t>
  </si>
  <si>
    <t>Tom VANDENDRIESSCHE</t>
  </si>
  <si>
    <t>Rasa JUKNEVIƒåIENƒñ</t>
  </si>
  <si>
    <t>Danilo DELLA VALLE</t>
  </si>
  <si>
    <t>Volker SCHNURRBUSCH</t>
  </si>
  <si>
    <t>Vlad-Marius BOTO≈û</t>
  </si>
  <si>
    <t>Ond≈ôej KNOTEK</t>
  </si>
  <si>
    <t>Veronika CIFROV√Å OSTRIHO≈áOV√Å</t>
  </si>
  <si>
    <t>Elisabeth DIERINGER</t>
  </si>
  <si>
    <t>Eleonora MELETI</t>
  </si>
  <si>
    <t>Andr√°s L√ÅSZL√ì</t>
  </si>
  <si>
    <t>Oliver SCHENK</t>
  </si>
  <si>
    <t>MƒÅrti≈Ü≈° STAƒ∂IS</t>
  </si>
  <si>
    <t>Rudi KENNES</t>
  </si>
  <si>
    <t>Daniel FREUND</t>
  </si>
  <si>
    <t>Ruth FIRMENICH</t>
  </si>
  <si>
    <t>El≈ºbieta Katarzyna ≈ÅUKACIJEWSKA</t>
  </si>
  <si>
    <t>L√≠dia PEREIRA</t>
  </si>
  <si>
    <t>Johan DANIELSSON</t>
  </si>
  <si>
    <t>Ma≈Çgorzata GOSIEWSKA</t>
  </si>
  <si>
    <t>Andrey SLABAKOV</t>
  </si>
  <si>
    <t>Liesbet SOMMEN</t>
  </si>
  <si>
    <t>Gerben-Jan GERBRANDY</t>
  </si>
  <si>
    <t>Giuseppe ANTOCI</t>
  </si>
  <si>
    <t>Alessandro ZAN</t>
  </si>
  <si>
    <t>Gr√©gory ALLIONE</t>
  </si>
  <si>
    <t>Asger CHRISTENSEN</t>
  </si>
  <si>
    <t>Cindy FRANSSEN</t>
  </si>
  <si>
    <t>Marjan ≈†AREC</t>
  </si>
  <si>
    <t>Jagna MARCZU≈ÅAJTIS-WALCZAK</t>
  </si>
  <si>
    <t>Leire PAJ√çN</t>
  </si>
  <si>
    <t>J√©r√¥me RIVI√àRE</t>
  </si>
  <si>
    <t>Hermann TERTSCH</t>
  </si>
  <si>
    <t>Mariateresa VIVALDINI</t>
  </si>
  <si>
    <t>Andr√© ROUG√â</t>
  </si>
  <si>
    <t>Irmhild BOSSDORF</t>
  </si>
  <si>
    <t>Ville NIINIST√ñ</t>
  </si>
  <si>
    <t>Javier ZARZALEJOS</t>
  </si>
  <si>
    <t>Sandro GOZI</t>
  </si>
  <si>
    <t>Carla TAVARES</t>
  </si>
  <si>
    <t>Alessandra MORETTI</t>
  </si>
  <si>
    <t>Nacho S√ÅNCHEZ AMOR</t>
  </si>
  <si>
    <t>Wouter BEKE</t>
  </si>
  <si>
    <t>Gilles LEBRETON</t>
  </si>
  <si>
    <t>Elissavet VOZEMBERG-VRIONIDI</t>
  </si>
  <si>
    <t>Val√©rie DELOGE</t>
  </si>
  <si>
    <t>Zolt√°n TARR</t>
  </si>
  <si>
    <t>Eric SARGIACOMO</t>
  </si>
  <si>
    <t>Margarita DE LA PISA CARRI√ìN</t>
  </si>
  <si>
    <t>Alberico GAMBINO</t>
  </si>
  <si>
    <t>Sylvia LIMMER</t>
  </si>
  <si>
    <t>Guillaume PELTIER</t>
  </si>
  <si>
    <t>Nikola BART≈Æ≈†EK</t>
  </si>
  <si>
    <t>Rada LAYKOVA</t>
  </si>
  <si>
    <t>Silvia MODIG</t>
  </si>
  <si>
    <t>Max ORVILLE</t>
  </si>
  <si>
    <t>J√∂rgen WARBORN</t>
  </si>
  <si>
    <t>Drago≈ü TUDORACHE</t>
  </si>
  <si>
    <t>Georgiana TEODORESCU</t>
  </si>
  <si>
    <t>Fredis BELERIS</t>
  </si>
  <si>
    <t>Patryk JAKI</t>
  </si>
  <si>
    <t>Elio DI RUPO</t>
  </si>
  <si>
    <t>Jussi SARAMO</t>
  </si>
  <si>
    <t>Diego SOLIER</t>
  </si>
  <si>
    <t>Tobias CREMER</t>
  </si>
  <si>
    <t>Rima HASSAN</t>
  </si>
  <si>
    <t>Lena D√úPONT</t>
  </si>
  <si>
    <t>Thomas GEISEL</t>
  </si>
  <si>
    <t>Luke Ming FLANAGAN</t>
  </si>
  <si>
    <t>Delara BURKHARDT</t>
  </si>
  <si>
    <t>Anna BRY≈ÅKA</t>
  </si>
  <si>
    <t>Marie TOUSSAINT</t>
  </si>
  <si>
    <t>Raffaele FITTO</t>
  </si>
  <si>
    <t>def/ep-roles/PRESIDENT_CO</t>
  </si>
  <si>
    <t>Andi CRISTEA</t>
  </si>
  <si>
    <t>Maravillas ABAD√çA JOVER</t>
  </si>
  <si>
    <t>Sergio BERLATO</t>
  </si>
  <si>
    <t>Adrian-George AXINIA</t>
  </si>
  <si>
    <t>Miros≈Çawa NYKIEL</t>
  </si>
  <si>
    <t>Roberto VANNACCI</t>
  </si>
  <si>
    <t>Ilhan KYUCHYUK</t>
  </si>
  <si>
    <t>Afroditi LATINOPOULOU</t>
  </si>
  <si>
    <t>Achille VARIATI</t>
  </si>
  <si>
    <t>Robert BIEDRO≈É</t>
  </si>
  <si>
    <t>Sofie ERIKSSON</t>
  </si>
  <si>
    <t>Jean-Marc GERMAIN</t>
  </si>
  <si>
    <t>Isabel BENJUMEA BENJUMEA</t>
  </si>
  <si>
    <t>Kristian VIGENIN</t>
  </si>
  <si>
    <t>Laura FERRARA</t>
  </si>
  <si>
    <t>Lucia ANNUNZIATA</t>
  </si>
  <si>
    <t>Ren√© AUST</t>
  </si>
  <si>
    <t>Ji≈ô√≠ POSP√ç≈†IL</t>
  </si>
  <si>
    <t>Milan BRGLEZ</t>
  </si>
  <si>
    <t>Mar√≠a Soraya RODR√çGUEZ RAMOS</t>
  </si>
  <si>
    <t>Tilly METZ</t>
  </si>
  <si>
    <t>Aura SALLA</t>
  </si>
  <si>
    <t>Kaja KALLAS</t>
  </si>
  <si>
    <t>org/4283</t>
  </si>
  <si>
    <t>Magdalena ADAMOWICZ</t>
  </si>
  <si>
    <t>Davor Ivo STIER</t>
  </si>
  <si>
    <t>Beata KEMPA</t>
  </si>
  <si>
    <t>Andr√°s GY√úRK</t>
  </si>
  <si>
    <t>Fernand KARTHEISER</t>
  </si>
  <si>
    <t>Caterina CHINNICI</t>
  </si>
  <si>
    <t>Gaetano PEDULLA'</t>
  </si>
  <si>
    <t>Jadwiga WI≈öNIEWSKA</t>
  </si>
  <si>
    <t>Christine ANDERSON</t>
  </si>
  <si>
    <t>Svenja HAHN</t>
  </si>
  <si>
    <t>Lefteris NIKOLAOU-ALAVANOS</t>
  </si>
  <si>
    <t>Maria WALSH</t>
  </si>
  <si>
    <t>Mislav KOLAKU≈†IƒÜ</t>
  </si>
  <si>
    <t>Thomas BAJADA</t>
  </si>
  <si>
    <t>Anna Maria CISINT</t>
  </si>
  <si>
    <t>Nikolaos ANADIOTIS</t>
  </si>
  <si>
    <t>Dita CHARANZOV√Å</t>
  </si>
  <si>
    <t>Hana JALLOUL MURO</t>
  </si>
  <si>
    <t>Mauri PEKKARINEN</t>
  </si>
  <si>
    <t>Ana Catarina MENDES</t>
  </si>
  <si>
    <t>Anna DEPARNAY-GRUNENBERG</t>
  </si>
  <si>
    <t>S√©rgio HUMBERTO</t>
  </si>
  <si>
    <t>Hildegard BENTELE</t>
  </si>
  <si>
    <t>Fabrice LEGGERI</t>
  </si>
  <si>
    <t>Dariusz JO≈ÉSKI</t>
  </si>
  <si>
    <t>Nathalie COLIN-OESTERL√â</t>
  </si>
  <si>
    <t>Irena JOVEVA</t>
  </si>
  <si>
    <t>Jaume ASENS LLODR√Ä</t>
  </si>
  <si>
    <t>Milan MAZUREK</t>
  </si>
  <si>
    <t>Alice KUHNKE</t>
  </si>
  <si>
    <t>Matthias ECKE</t>
  </si>
  <si>
    <t>Li ANDERSSON</t>
  </si>
  <si>
    <t>Nicol√°s PASCUAL DE LA PARTE</t>
  </si>
  <si>
    <t>Antonio L√ìPEZ-IST√öRIZ WHITE</t>
  </si>
  <si>
    <t>Radka MAXOV√Å</t>
  </si>
  <si>
    <t>Antonius MANDERS</t>
  </si>
  <si>
    <t>Isabella TOVAGLIERI</t>
  </si>
  <si>
    <t>Lara WOLTERS</t>
  </si>
  <si>
    <t>Reinier VAN LANSCHOT</t>
  </si>
  <si>
    <t>Eero HEIN√ÑLUOMA</t>
  </si>
  <si>
    <t>P√§r HOLMGREN</t>
  </si>
  <si>
    <t>Adina VƒÇLEAN</t>
  </si>
  <si>
    <t>Emma FOURREAU</t>
  </si>
  <si>
    <t>Claudiu-Richard T√ÇRZIU</t>
  </si>
  <si>
    <t>Giovanni CROSETTO</t>
  </si>
  <si>
    <t>Irene MONTERO</t>
  </si>
  <si>
    <t>Mathilde ANDROU√ãT</t>
  </si>
  <si>
    <t>Susana SOL√çS P√âREZ</t>
  </si>
  <si>
    <t>Sakis ARNAOUTOGLOU</t>
  </si>
  <si>
    <t>Marion MAR√âCHAL</t>
  </si>
  <si>
    <t>Annam√°ria VICSEK</t>
  </si>
  <si>
    <t>Carlos COELHO</t>
  </si>
  <si>
    <t>Clare DALY</t>
  </si>
  <si>
    <t>Urmas PAET</t>
  </si>
  <si>
    <t>Jens GIESEKE</t>
  </si>
  <si>
    <t>Benedetta SCUDERI</t>
  </si>
  <si>
    <t>Saskia BRICMONT</t>
  </si>
  <si>
    <t>Christine SINGER</t>
  </si>
  <si>
    <t>Giorgos GEORGIOU</t>
  </si>
  <si>
    <t>Alice TEODORESCU M√ÖWE</t>
  </si>
  <si>
    <t>Dominik TARCZY≈ÉSKI</t>
  </si>
  <si>
    <t>Niclas HERBST</t>
  </si>
  <si>
    <t>Chiara GEMMA</t>
  </si>
  <si>
    <t>Daniel BUDA</t>
  </si>
  <si>
    <t>Inese VAIDERE</t>
  </si>
  <si>
    <t>Daniel OBAJTEK</t>
  </si>
  <si>
    <t>Elena KOUNTOURA</t>
  </si>
  <si>
    <t>Kris VAN DIJCK</t>
  </si>
  <si>
    <t>Cristian-Silviu BU≈ûOI</t>
  </si>
  <si>
    <t>Esther DE LANGE</t>
  </si>
  <si>
    <t>Fulvio MARTUSCIELLO</t>
  </si>
  <si>
    <t>Manfred WEBER</t>
  </si>
  <si>
    <t>Brando BENIFEI</t>
  </si>
  <si>
    <t>Tiago MOREIRA DE S√Å</t>
  </si>
  <si>
    <t>Martin SCHIRDEWAN</t>
  </si>
  <si>
    <t>Emma RAFOWICZ</t>
  </si>
  <si>
    <t>Paulo DO NASCIMENTO CABRAL</t>
  </si>
  <si>
    <t>Pierre-Romain THIONNET</t>
  </si>
  <si>
    <t>Sandra PEREIRA</t>
  </si>
  <si>
    <t>Kathleen VAN BREMPT</t>
  </si>
  <si>
    <t>Juan Ignacio ZOIDO √ÅLVAREZ</t>
  </si>
  <si>
    <t>Andrea WECHSLER</t>
  </si>
  <si>
    <t>Anna STROLENBERG</t>
  </si>
  <si>
    <t>Anna CAVAZZINI</t>
  </si>
  <si>
    <t>Ewa ZAJƒÑCZKOWSKA-HERNIK</t>
  </si>
  <si>
    <t>Leszek MILLER</t>
  </si>
  <si>
    <t>Pascal CANFIN</t>
  </si>
  <si>
    <t>Manu PINEDA</t>
  </si>
  <si>
    <t>Jaak MADISON</t>
  </si>
  <si>
    <t>Marie-Luce BRASIER-CLAIN</t>
  </si>
  <si>
    <t>Sandra G√ìMEZ L√ìPEZ</t>
  </si>
  <si>
    <t>Jana NAGYOV√Å</t>
  </si>
  <si>
    <t>Stanislav POLƒå√ÅK</t>
  </si>
  <si>
    <t>Cynthia N√ç MHURCH√ö</t>
  </si>
  <si>
    <t>Rosanna CONTE</t>
  </si>
  <si>
    <t>Elsi KATAINEN</t>
  </si>
  <si>
    <t>Cecilia STRADA</t>
  </si>
  <si>
    <t>Tom√°≈° KUB√çN</t>
  </si>
  <si>
    <t>Janusz WOJCIECHOWSKI</t>
  </si>
  <si>
    <t>org/4275</t>
  </si>
  <si>
    <t>Tatjana ≈ΩDANOKA</t>
  </si>
  <si>
    <t>Jacek PROTAS</t>
  </si>
  <si>
    <t>P√°l SZEKERES</t>
  </si>
  <si>
    <t>Marco SQUARTA</t>
  </si>
  <si>
    <t>Katar√≠na ROTH NEVEƒéALOV√Å</t>
  </si>
  <si>
    <t>Jean-Lin LACAPELLE</t>
  </si>
  <si>
    <t>Eszter LAKOS</t>
  </si>
  <si>
    <t>Vlad GHEORGHE</t>
  </si>
  <si>
    <t>Ana COLLADO JIM√âNEZ</t>
  </si>
  <si>
    <t>Beata MAZUREK</t>
  </si>
  <si>
    <t>Jonas SJ√ñSTEDT</t>
  </si>
  <si>
    <t>Bernd LANGE</t>
  </si>
  <si>
    <t>Christian DOLESCHAL</t>
  </si>
  <si>
    <t>Ond≈ôej KOVA≈ò√çK</t>
  </si>
  <si>
    <t>Jos√© GUSM√ÉO</t>
  </si>
  <si>
    <t>Alviina ALAMETS√Ñ</t>
  </si>
  <si>
    <t>Tiemo W√ñLKEN</t>
  </si>
  <si>
    <t>Nela RIEHL</t>
  </si>
  <si>
    <t>Martin G√úNTHER</t>
  </si>
  <si>
    <t>Guy VERHOFSTADT</t>
  </si>
  <si>
    <t>Lena SCHILLING</t>
  </si>
  <si>
    <t>Hristo PETROV</t>
  </si>
  <si>
    <t>Traian BƒÇSESCU</t>
  </si>
  <si>
    <t>Michaela ≈†OJDROV√Å</t>
  </si>
  <si>
    <t>Karima DELLI</t>
  </si>
  <si>
    <t>Izabela-Helena KLOC</t>
  </si>
  <si>
    <t>Beata SZYD≈ÅO</t>
  </si>
  <si>
    <t>Cristina MAESTRE</t>
  </si>
  <si>
    <t>ƒΩudov√≠t √ìDOR</t>
  </si>
  <si>
    <t>Fernando NAVARRETE ROJAS</t>
  </si>
  <si>
    <t>Tonino PICULA</t>
  </si>
  <si>
    <t>Bas EICKHOUT</t>
  </si>
  <si>
    <t>David CORMAND</t>
  </si>
  <si>
    <t>Mark√©ta GREGOROV√Å</t>
  </si>
  <si>
    <t>Stelios KYMPOUROPOULOS</t>
  </si>
  <si>
    <t>Pedro SILVA PEREIRA</t>
  </si>
  <si>
    <t>Massimiliano SALINI</t>
  </si>
  <si>
    <t>Ignazio CORRAO</t>
  </si>
  <si>
    <t>Rasmus ANDRESEN</t>
  </si>
  <si>
    <t>Fabio Massimo CASTALDO</t>
  </si>
  <si>
    <t>Elisabeth GROSSMANN</t>
  </si>
  <si>
    <t>Ioan-Rare≈ü BOGDAN</t>
  </si>
  <si>
    <t>Milan ZVER</t>
  </si>
  <si>
    <t>Dainius ≈ΩALIMAS</t>
  </si>
  <si>
    <t>Ir√®ne TOLLERET</t>
  </si>
  <si>
    <t>Matthieu VALET</t>
  </si>
  <si>
    <t>Jacek OZDOBA</t>
  </si>
  <si>
    <t>Francesco TORSELLI</t>
  </si>
  <si>
    <t>Ivan ≈†TEFANEC</t>
  </si>
  <si>
    <t>Michael KAUCH</t>
  </si>
  <si>
    <t>Valdis DOMBROVSKIS</t>
  </si>
  <si>
    <t>org/4273</t>
  </si>
  <si>
    <t>Michael VON DER SCHULENBURG</t>
  </si>
  <si>
    <t>Markus BUCHHEIT</t>
  </si>
  <si>
    <t>Ryszard CZARNECKI</t>
  </si>
  <si>
    <t>Brigitte VAN DEN BERG</t>
  </si>
  <si>
    <t>Caroline NAGTEGAAL</t>
  </si>
  <si>
    <t>Linus GLANZELIUS</t>
  </si>
  <si>
    <t>Anja HAGA</t>
  </si>
  <si>
    <t>Marco ZANNI</t>
  </si>
  <si>
    <t>Andrzej BU≈ÅA</t>
  </si>
  <si>
    <t>Rovana PLUMB</t>
  </si>
  <si>
    <t>Patricia CARO MAYA</t>
  </si>
  <si>
    <t>Majdouline SBAI</t>
  </si>
  <si>
    <t>Pierre JOUVET</t>
  </si>
  <si>
    <t>M√≥nica Silvana GONZ√ÅLEZ</t>
  </si>
  <si>
    <t>Karen MELCHIOR</t>
  </si>
  <si>
    <t>Vicent MARZ√Ä IB√Å√ëEZ</t>
  </si>
  <si>
    <t>Alexandre VARAUT</t>
  </si>
  <si>
    <t>Sergey LAGODINSKY</t>
  </si>
  <si>
    <t>Annika BRUNA</t>
  </si>
  <si>
    <t>Michael MCNAMARA</t>
  </si>
  <si>
    <t>Isabelle LE CALLENNEC</t>
  </si>
  <si>
    <t>Philippe OLIVIER</t>
  </si>
  <si>
    <t>Kinga KOLL√ÅR</t>
  </si>
  <si>
    <t>Benoit CASSART</t>
  </si>
  <si>
    <t>Anna J√∫lia DON√ÅTH</t>
  </si>
  <si>
    <t>Zsuzsanna BORVEND√âG</t>
  </si>
  <si>
    <t>Christophe HANSEN</t>
  </si>
  <si>
    <t>Christophe GOMART</t>
  </si>
  <si>
    <t>Jon√°s FERN√ÅNDEZ</t>
  </si>
  <si>
    <t>Joachim KUHS</t>
  </si>
  <si>
    <t>Branislav ONDRU≈†</t>
  </si>
  <si>
    <t>Esther HERRANZ GARC√çA</t>
  </si>
  <si>
    <t>Merja KYLL√ñNEN</t>
  </si>
  <si>
    <t>Ant√≥nio COSTA</t>
  </si>
  <si>
    <t>Barbara THALER</t>
  </si>
  <si>
    <t>Fidias PANAYIOTOU</t>
  </si>
  <si>
    <t>Cornelia ERNST</t>
  </si>
  <si>
    <t>Vangelis MEIMARAKIS</t>
  </si>
  <si>
    <t>Giusi PRINCI</t>
  </si>
  <si>
    <t>Georgios KYRTSOS</t>
  </si>
  <si>
    <t>Jean-Paul GARRAUD</t>
  </si>
  <si>
    <t>Jessica POLFJ√ÑRD</t>
  </si>
  <si>
    <t>Marlena MALƒÑG</t>
  </si>
  <si>
    <t>Dom√®nec RUIZ DEVESA</t>
  </si>
  <si>
    <t>Raffaele STANCANELLI</t>
  </si>
  <si>
    <t>Henrik DAHL</t>
  </si>
  <si>
    <t>Arba KOKALARI</t>
  </si>
  <si>
    <t>Andrus ANSIP</t>
  </si>
  <si>
    <t>Stanislav STOYANOV</t>
  </si>
  <si>
    <t>Maria GUZENINA</t>
  </si>
  <si>
    <t>Isabel SANTOS</t>
  </si>
  <si>
    <t>Monika HOHLMEIER</t>
  </si>
  <si>
    <t>Ang√©line FURET</t>
  </si>
  <si>
    <t>Bernhard ZIMNIOK</t>
  </si>
  <si>
    <t>Daniel ATTARD</t>
  </si>
  <si>
    <t>Marta WCIS≈ÅO</t>
  </si>
  <si>
    <t>Dominique RIQUET</t>
  </si>
  <si>
    <t>Pernando BARRENA ARZA</t>
  </si>
  <si>
    <t>Laurence TROCHU</t>
  </si>
  <si>
    <t>Dino GIARRUSSO</t>
  </si>
  <si>
    <t>Peter AGIUS</t>
  </si>
  <si>
    <t>St√©phane S√âJOURN√â</t>
  </si>
  <si>
    <t>Pirkko RUOHONEN-LERNER</t>
  </si>
  <si>
    <t>Maxette PIRBAKAS</t>
  </si>
  <si>
    <t>Reinhard B√úTIKOFER</t>
  </si>
  <si>
    <t>Andreas GL√úCK</t>
  </si>
  <si>
    <t>Maria NOICHL</t>
  </si>
  <si>
    <t>Michiel HOOGEVEEN</t>
  </si>
  <si>
    <t>Eider GARDIAZABAL RUBIAL</t>
  </si>
  <si>
    <t>Elisabetta GUALMINI</t>
  </si>
  <si>
    <t>Erik KALI≈á√ÅK</t>
  </si>
  <si>
    <t>Antoni COM√çN I OLIVERES</t>
  </si>
  <si>
    <t>Sandro RUOTOLO</t>
  </si>
  <si>
    <t>Verena MERTENS</t>
  </si>
  <si>
    <t>Monika BE≈áOV√Å</t>
  </si>
  <si>
    <t>Lor√°nt VINCZE</t>
  </si>
  <si>
    <t>Bogdan Andrzej ZDROJEWSKI</t>
  </si>
  <si>
    <t>Rosa D'AMATO</t>
  </si>
  <si>
    <t>Mario FURORE</t>
  </si>
  <si>
    <t>Jordi CA√ëAS</t>
  </si>
  <si>
    <t>Piernicola PEDICINI</t>
  </si>
  <si>
    <t>Martine KEMP</t>
  </si>
  <si>
    <t>Andrzej HALICKI</t>
  </si>
  <si>
    <t>Morten L√òKKEGAARD</t>
  </si>
  <si>
    <t>Roxana M√éNZATU</t>
  </si>
  <si>
    <t>Pernille WEISS-EHLER</t>
  </si>
  <si>
    <t>Norbert LINS</t>
  </si>
  <si>
    <t>Ra√∫l DE LA HOZ QUINTANO</t>
  </si>
  <si>
    <t>Ilaria SALIS</t>
  </si>
  <si>
    <t>Marc JONGEN</t>
  </si>
  <si>
    <t>Marieke EHLERS</t>
  </si>
  <si>
    <t>Javier MORENO S√ÅNCHEZ</t>
  </si>
  <si>
    <t>Irene TINAGLI</t>
  </si>
  <si>
    <t>Kristoffer STORM</t>
  </si>
  <si>
    <t>Raffaele TOPO</t>
  </si>
  <si>
    <t>Martin H√ÑUSLING</t>
  </si>
  <si>
    <t>Caroline ROOSE</t>
  </si>
  <si>
    <t>Chlo√© RIDEL</t>
  </si>
  <si>
    <t>Michal WIEZIK</t>
  </si>
  <si>
    <t>Alicia HOMS GINEL</t>
  </si>
  <si>
    <t>Maria SPYRAKI</t>
  </si>
  <si>
    <t>Bergur L√∏kke RASMUSSEN</t>
  </si>
  <si>
    <t>Viola VON CRAMON-TAUBADEL</t>
  </si>
  <si>
    <t>Barbara BONTE</t>
  </si>
  <si>
    <t>Andrea BOCSKOR</t>
  </si>
  <si>
    <t>Jaroslav B≈ΩOCH</t>
  </si>
  <si>
    <t>Olivier CHASTEL</t>
  </si>
  <si>
    <t>Philippe LAMBERTS</t>
  </si>
  <si>
    <t>Gy√∂rgy H√ñLV√âNYI</t>
  </si>
  <si>
    <t>Peter LIESE</t>
  </si>
  <si>
    <t>Franc BOGOVIƒå</t>
  </si>
  <si>
    <t>Mercedes BRESSO</t>
  </si>
  <si>
    <t>Birgit SIPPEL</t>
  </si>
  <si>
    <t>Sibylle BERG</t>
  </si>
  <si>
    <t>Eva MAYDELL</t>
  </si>
  <si>
    <t>Ciar√°n CUFFE</t>
  </si>
  <si>
    <t>Nikola MINCHEV</t>
  </si>
  <si>
    <t>Stefano BONACCINI</t>
  </si>
  <si>
    <t>Rasmus NORDQVIST</t>
  </si>
  <si>
    <t>Vlad VASILE-VOICULESCU</t>
  </si>
  <si>
    <t>Sara CERDAS</t>
  </si>
  <si>
    <t>Eva-Maria Alexandrova POPTCHEVA</t>
  </si>
  <si>
    <t>Maria da Gra√ßa CARVALHO</t>
  </si>
  <si>
    <t>Malte GALL√âE</t>
  </si>
  <si>
    <t>Arnaud DANJEAN</t>
  </si>
  <si>
    <t>Mikul√°≈° PEKSA</t>
  </si>
  <si>
    <t>Anja ARNDT</t>
  </si>
  <si>
    <t>Lucia ƒéURI≈† NICHOLSONOV√Å</t>
  </si>
  <si>
    <t>Frances FITZGERALD</t>
  </si>
  <si>
    <t>Dacian CIOLO≈û</t>
  </si>
  <si>
    <t>Ludƒõk NIEDERMAYER</t>
  </si>
  <si>
    <t>Petros KOKKALIS</t>
  </si>
  <si>
    <t>Jaroslava POKORN√Å JERMANOV√Å</t>
  </si>
  <si>
    <t>Danilo Oscar LANCINI</t>
  </si>
  <si>
    <t>Ern≈ë SCHALLER-BAROSS</t>
  </si>
  <si>
    <t>Pekka TOVERI</t>
  </si>
  <si>
    <t>Aodh√°n √ì R√çORD√ÅIN</t>
  </si>
  <si>
    <t>C√©sar LUENA</t>
  </si>
  <si>
    <t>Alexander BERNHUBER</t>
  </si>
  <si>
    <t>Daniel CASPARY</t>
  </si>
  <si>
    <t>Beno√Æt LUTGEN</t>
  </si>
  <si>
    <t>Filip DE MAN</t>
  </si>
  <si>
    <t>Fran√ßois THIOLLET</t>
  </si>
  <si>
    <t>Dario TAMBURRANO</t>
  </si>
  <si>
    <t>Marco CAMPOMENOSI</t>
  </si>
  <si>
    <t>Lydie MASSARD</t>
  </si>
  <si>
    <t>Pilar DEL CASTILLO VERA</t>
  </si>
  <si>
    <t>Carolina MORACE</t>
  </si>
  <si>
    <t>Zala TOMA≈†Iƒå</t>
  </si>
  <si>
    <t>Gabriela FIREA</t>
  </si>
  <si>
    <t>Jan FARSK√ù</t>
  </si>
  <si>
    <t>Catherine CHABAUD</t>
  </si>
  <si>
    <t>P√©ter MAGYAR</t>
  </si>
  <si>
    <t>Massimiliano SMERIGLIO</t>
  </si>
  <si>
    <t>Witold PAHL</t>
  </si>
  <si>
    <t>Chris MACMANUS</t>
  </si>
  <si>
    <t>Niels Flemming HANSEN</t>
  </si>
  <si>
    <t>Maite PAGAZAURTUND√öA</t>
  </si>
  <si>
    <t>Harald VILIMSKY</t>
  </si>
  <si>
    <t>Isabel WISELER-LIMA</t>
  </si>
  <si>
    <t>Gerald HAUSER</t>
  </si>
  <si>
    <t>Nora MEBAREK</t>
  </si>
  <si>
    <t>Deirdre CLUNE</t>
  </si>
  <si>
    <t>G√ºnther SIDL</t>
  </si>
  <si>
    <t>Sabrina PIGNEDOLI</t>
  </si>
  <si>
    <t>Judita LA≈†≈†√ÅKOV√Å</t>
  </si>
  <si>
    <t>Guido REIL</t>
  </si>
  <si>
    <t>Pavel TELIƒåKA</t>
  </si>
  <si>
    <t>Jordi SOL√â</t>
  </si>
  <si>
    <t>Hanna GRONKIEWICZ-WALTZ</t>
  </si>
  <si>
    <t>Klemen GRO≈†ELJ</t>
  </si>
  <si>
    <t>Michele PICARO</t>
  </si>
  <si>
    <t>Ralf SEEKATZ</t>
  </si>
  <si>
    <t>Clara AGUILERA</t>
  </si>
  <si>
    <t>Valter FLEGO</t>
  </si>
  <si>
    <t>Patrizia TOIA</t>
  </si>
  <si>
    <t>Nikolas FARANTOURIS</t>
  </si>
  <si>
    <t>Gwendoline DELBOS-CORFIELD</t>
  </si>
  <si>
    <t>Taner KABILOV</t>
  </si>
  <si>
    <t>Margarida MARQUES</t>
  </si>
  <si>
    <t>Elena LIZZI</t>
  </si>
  <si>
    <t>Peter POLL√ÅK</t>
  </si>
  <si>
    <t>Beno√Æt BITEAU</t>
  </si>
  <si>
    <t>Letizia MORATTI</t>
  </si>
  <si>
    <t>Matteo RICCI</t>
  </si>
  <si>
    <t>Nils TORVALDS</t>
  </si>
  <si>
    <t>Colm MARKEY</t>
  </si>
  <si>
    <t>Markus PIEPER</t>
  </si>
  <si>
    <t>Kai TEGETHOFF</t>
  </si>
  <si>
    <t>Niels FUGLSANG</t>
  </si>
  <si>
    <t>Marisa MATIAS</t>
  </si>
  <si>
    <t>Ib√°n GARC√çA DEL BLANCO</t>
  </si>
  <si>
    <t>Mario MANTOVANI</t>
  </si>
  <si>
    <t>Morten PETERSEN</t>
  </si>
  <si>
    <t>Vera TAX</t>
  </si>
  <si>
    <t>Romana TOMC</t>
  </si>
  <si>
    <t>Pierfrancesco MARAN</t>
  </si>
  <si>
    <t>Vivien COSTANZO</t>
  </si>
  <si>
    <t>Salima YENBOU</t>
  </si>
  <si>
    <t>Janina OCHOJSKA</t>
  </si>
  <si>
    <t>Bronis ROPƒñ</t>
  </si>
  <si>
    <t>Csaba MOLN√ÅR</t>
  </si>
  <si>
    <t>Agnes JONGERIUS</t>
  </si>
  <si>
    <t>Iliana IVANOVA</t>
  </si>
  <si>
    <t>org/2952</t>
  </si>
  <si>
    <t>Dominique BILDE</t>
  </si>
  <si>
    <t>Ren√© REPASI</t>
  </si>
  <si>
    <t>Marek BELKA</t>
  </si>
  <si>
    <t>Emmanuel MAUREL</t>
  </si>
  <si>
    <t>C√©line IMART</t>
  </si>
  <si>
    <t>Gianna GANCIA</t>
  </si>
  <si>
    <t>Anja HAZEKAMP</t>
  </si>
  <si>
    <t>Marion WALSMANN</t>
  </si>
  <si>
    <t>Mimmo LUCANO</t>
  </si>
  <si>
    <t>Anna FOTYGA</t>
  </si>
  <si>
    <t>Kl√°ra DOBREV</t>
  </si>
  <si>
    <t>S√°ndor R√ìNAI</t>
  </si>
  <si>
    <t>Daniela RONDINELLI</t>
  </si>
  <si>
    <t>Kamila GASIUK-PIHOWICZ</t>
  </si>
  <si>
    <t>Daniele POLATO</t>
  </si>
  <si>
    <t>Anne SANDER</t>
  </si>
  <si>
    <t>Ska KELLER</t>
  </si>
  <si>
    <t>Martina MICHELS</t>
  </si>
  <si>
    <t>Eugen JURZYCA</t>
  </si>
  <si>
    <t>Dorien ROOKMAKER</t>
  </si>
  <si>
    <t>David CASA</t>
  </si>
  <si>
    <t>Katalin CSEH</t>
  </si>
  <si>
    <t>Elena SANCHO MURILLO</t>
  </si>
  <si>
    <t>Pierrette HERZBERGER-FOFANA</t>
  </si>
  <si>
    <t>Biljana BORZAN</t>
  </si>
  <si>
    <t>Danuta Maria H√úBNER</t>
  </si>
  <si>
    <t>Atidzhe ALIEVA-VELI</t>
  </si>
  <si>
    <t>J√∂rg MEUTHEN</t>
  </si>
  <si>
    <t>Borys BUDKA</t>
  </si>
  <si>
    <t>Adnan DIBRANI</t>
  </si>
  <si>
    <t>Claude GRUFFAT</t>
  </si>
  <si>
    <t>Marlene MORTLER</t>
  </si>
  <si>
    <t>Jos√© Manuel FERNANDES</t>
  </si>
  <si>
    <t>Jens GEIER</t>
  </si>
  <si>
    <t>Joachim SCHUSTER</t>
  </si>
  <si>
    <t>Catherine GRISET</t>
  </si>
  <si>
    <t>Grzegorz TOBISZOWSKI</t>
  </si>
  <si>
    <t>Fr√©d√©rique RIES</t>
  </si>
  <si>
    <t>Marcel DE GRAAFF</t>
  </si>
  <si>
    <t>Claudia GAMON</t>
  </si>
  <si>
    <t>Geert BOURGEOIS</t>
  </si>
  <si>
    <t>Teuvo HAKKARAINEN</t>
  </si>
  <si>
    <t>Francesca PEPPUCCI</t>
  </si>
  <si>
    <t>Anne-Sophie PELLETIER</t>
  </si>
  <si>
    <t>Anabela RODRIGUES</t>
  </si>
  <si>
    <t>Martin SONNEBORN</t>
  </si>
  <si>
    <t>Miguel URB√ÅN CRESPO</t>
  </si>
  <si>
    <t>Paulo RANGEL</t>
  </si>
  <si>
    <t>Ilan DE BASSO</t>
  </si>
  <si>
    <t>Jan ZAHRADIL</t>
  </si>
  <si>
    <t>Tomasz Piotr PORƒòBA</t>
  </si>
  <si>
    <t>Pierre KARLESKIND</t>
  </si>
  <si>
    <t>M√°rton GY√ñNGY√ñSI</t>
  </si>
  <si>
    <t>Fran√ßois KALFON</t>
  </si>
  <si>
    <t>Udo BULLMANN</t>
  </si>
  <si>
    <t>Jana TOOM</t>
  </si>
  <si>
    <t>Cristina GUARDA</t>
  </si>
  <si>
    <t>Marco FALCONE</t>
  </si>
  <si>
    <t>Asim ADEMOV</t>
  </si>
  <si>
    <t>Pascale PIERA</t>
  </si>
  <si>
    <t>√Åd√°m K√ìSA</t>
  </si>
  <si>
    <t>Lara MAGONI</t>
  </si>
  <si>
    <t>Ana Miguel DOS SANTOS</t>
  </si>
  <si>
    <t>J√©r√©my DECERLE</t>
  </si>
  <si>
    <t>Annalisa TARDINO</t>
  </si>
  <si>
    <t>Sylvie BRUNET</t>
  </si>
  <si>
    <t>Adam JARUBAS</t>
  </si>
  <si>
    <t>Ramona STRUGARIU</t>
  </si>
  <si>
    <t>Aurore LALUCQ</t>
  </si>
  <si>
    <t>Val√©rie DEVAUX</t>
  </si>
  <si>
    <t>Ulrike M√úLLER</t>
  </si>
  <si>
    <t>Jan OLBRYCHT</t>
  </si>
  <si>
    <t>Iuliu WINKLER</t>
  </si>
  <si>
    <t>Drago≈ü P√éSLARU</t>
  </si>
  <si>
    <t>Alexander ALEXANDROV YORDANOV</t>
  </si>
  <si>
    <t>Jo√£o ALBUQUERQUE</t>
  </si>
  <si>
    <t>Wolfram PIRCHNER</t>
  </si>
  <si>
    <t>Bartosz AR≈ÅUKOWICZ</t>
  </si>
  <si>
    <t>Jacek SARYUSZ-WOLSKI</t>
  </si>
  <si>
    <t>Tiziana BEGHIN</t>
  </si>
  <si>
    <t>Jos√© Manuel GARC√çA-MARGALLO Y MARFIL</t>
  </si>
  <si>
    <t>Bal√°zs HIDV√âGHI</t>
  </si>
  <si>
    <t>Gerolf ANNEMANS</t>
  </si>
  <si>
    <t>Juozas OLEKAS</t>
  </si>
  <si>
    <t>Ivo HRISTOV</t>
  </si>
  <si>
    <t>Damien CAR√äME</t>
  </si>
  <si>
    <t>Fran√ßois ALFONSI</t>
  </si>
  <si>
    <t>Stelios KOULOGLOU</t>
  </si>
  <si>
    <t>Miroslav RADAƒåOVSK√ù</t>
  </si>
  <si>
    <t>Guy LAVOCAT</t>
  </si>
  <si>
    <t>Marc TARABELLA</t>
  </si>
  <si>
    <t>Pierre PIMPIE</t>
  </si>
  <si>
    <t>Tom VANDENKENDELAERE</t>
  </si>
  <si>
    <t>Ilana CICUREL</t>
  </si>
  <si>
    <t>D√≥ra D√ÅVID</t>
  </si>
  <si>
    <t>Gheorghe FALCƒÇ</t>
  </si>
  <si>
    <t>Margrete AUKEN</t>
  </si>
  <si>
    <t>Gilles BOYER</t>
  </si>
  <si>
    <t>Sylvie GUILLAUME</t>
  </si>
  <si>
    <t>Anouk VAN BRUG</t>
  </si>
  <si>
    <t>Carina OHLSSON</t>
  </si>
  <si>
    <t>L√≠via J√ÅR√ìKA</t>
  </si>
  <si>
    <t>Grace O'SULLIVAN</t>
  </si>
  <si>
    <t>Monica SEMEDO</t>
  </si>
  <si>
    <t>Andor DELI</t>
  </si>
  <si>
    <t>Inma RODR√çGUEZ-PI√ëERO</t>
  </si>
  <si>
    <t>Samira RAFAELA</t>
  </si>
  <si>
    <t>Antonio Maria RINALDI</t>
  </si>
  <si>
    <t>Beatrice COVASSI</t>
  </si>
  <si>
    <t>Vilis KRI≈†TOPANS</t>
  </si>
  <si>
    <t>Paul TANG</t>
  </si>
  <si>
    <t>Krzysztof JURGIEL</t>
  </si>
  <si>
    <t>Auke ZIJLSTRA</t>
  </si>
  <si>
    <t>Alma EZCURRA ALMANSA</t>
  </si>
  <si>
    <t>Vincenzo SOFO</t>
  </si>
  <si>
    <t>Stefan K√ñHLER</t>
  </si>
  <si>
    <t>Pietro BARTOLO</t>
  </si>
  <si>
    <t>Herv√© JUVIN</t>
  </si>
  <si>
    <t>Karsten LUCKE</t>
  </si>
  <si>
    <t>Henk Jan ORMEL</t>
  </si>
  <si>
    <t>Marianne VIND</t>
  </si>
  <si>
    <t>Franco ROBERTI</t>
  </si>
  <si>
    <t>Gianantonio DA RE</t>
  </si>
  <si>
    <t>Mazaly AGUILAR</t>
  </si>
  <si>
    <t>Isilda GOMES</t>
  </si>
  <si>
    <t>Jos√© Ram√≥n BAUZ√Å D√çAZ</t>
  </si>
  <si>
    <t>Leopoldo L√ìPEZ GIL</t>
  </si>
  <si>
    <t>Geoffroy DIDIER</t>
  </si>
  <si>
    <t>Stefania ZAMBELLI</t>
  </si>
  <si>
    <t>Marek Pawe≈Ç BALT</t>
  </si>
  <si>
    <t>Edina T√ìTH</t>
  </si>
  <si>
    <t>Virgil-Daniel POPESCU</t>
  </si>
  <si>
    <t>Petra KAMMEREVERT</t>
  </si>
  <si>
    <t>Pat COX</t>
  </si>
  <si>
    <t>org/515</t>
  </si>
  <si>
    <t>Paola GHIDONI</t>
  </si>
  <si>
    <t>Carmen AVRAM</t>
  </si>
  <si>
    <t>Estrella DUR√Å FERRANDIS</t>
  </si>
  <si>
    <t>Eleni STAVROU</t>
  </si>
  <si>
    <t>Robert HAJ≈†EL</t>
  </si>
  <si>
    <t>El≈ºbieta RAFALSKA</t>
  </si>
  <si>
    <t>El≈ºbieta KRUK</t>
  </si>
  <si>
    <t>Maximilian KRAH</t>
  </si>
  <si>
    <t>Marcin KIERWI≈ÉSKI</t>
  </si>
  <si>
    <t>Alin MITU»öA</t>
  </si>
  <si>
    <t>Tudor CIUHODARU</t>
  </si>
  <si>
    <t>Marcel KOLAJA</t>
  </si>
  <si>
    <t>Janusz LEWANDOWSKI</t>
  </si>
  <si>
    <t>Petar VITANOV</t>
  </si>
  <si>
    <t>Claire FITA</t>
  </si>
  <si>
    <t>Romeo FRANZ</t>
  </si>
  <si>
    <t>Niyazi KIZILY√úREK</t>
  </si>
  <si>
    <t>Stefan BERGER</t>
  </si>
  <si>
    <t>Jan OVELG√ñNNE</t>
  </si>
  <si>
    <t>Catharina RINZEMA</t>
  </si>
  <si>
    <t>Cl√°udia MONTEIRO DE AGUIAR</t>
  </si>
  <si>
    <t>W≈Çodzimierz KARPI≈ÉSKI</t>
  </si>
  <si>
    <t>Predrag Fred MATIƒÜ</t>
  </si>
  <si>
    <t>Vasco BECKER-WEINBERG</t>
  </si>
  <si>
    <t>Jerzy BUZEK</t>
  </si>
  <si>
    <t>Eric MINARDI</t>
  </si>
  <si>
    <t>Anton√≠n STANƒöK</t>
  </si>
  <si>
    <t>Clara PONSAT√ç OBIOLS</t>
  </si>
  <si>
    <t>Peter JAHR</t>
  </si>
  <si>
    <t>Alessandra BASSO</t>
  </si>
  <si>
    <t>Robert ROOS</t>
  </si>
  <si>
    <t>Paolo DE CASTRO</t>
  </si>
  <si>
    <t>Martina DLABAJOV√Å</t>
  </si>
  <si>
    <t>EP_Acronym</t>
  </si>
  <si>
    <t>EP_Party</t>
  </si>
  <si>
    <t>EPP</t>
  </si>
  <si>
    <t>S&amp;D</t>
  </si>
  <si>
    <t>Renew Europe</t>
  </si>
  <si>
    <t>org/4285</t>
  </si>
  <si>
    <t>Greens/EFA</t>
  </si>
  <si>
    <t>ID</t>
  </si>
  <si>
    <t>The Left</t>
  </si>
  <si>
    <t>ECR</t>
  </si>
  <si>
    <t>org/5151</t>
  </si>
  <si>
    <t>PfE</t>
  </si>
  <si>
    <t>org/4908</t>
  </si>
  <si>
    <t>org/4281</t>
  </si>
  <si>
    <t>org/4880</t>
  </si>
  <si>
    <t>Non-attached</t>
  </si>
  <si>
    <t>org/1539</t>
  </si>
  <si>
    <t>org/990</t>
  </si>
  <si>
    <t>org/991</t>
  </si>
  <si>
    <t>org/1550</t>
  </si>
  <si>
    <t>org/3968</t>
  </si>
  <si>
    <t>org/488</t>
  </si>
  <si>
    <t>org/2965</t>
  </si>
  <si>
    <t>org/4280</t>
  </si>
  <si>
    <t>ESN</t>
  </si>
  <si>
    <t>org/994</t>
  </si>
  <si>
    <t>org/2966</t>
  </si>
  <si>
    <t>org/514</t>
  </si>
  <si>
    <t>org/509</t>
  </si>
  <si>
    <t>lookup_from_other_table</t>
  </si>
  <si>
    <t>ep_party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</si>
</sst>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ables/table1.xml><?xml version="1.0" encoding="utf-8"?>
<table xmlns="http://purl.oclc.org/ooxml/spreadsheetml/main" id="2" name="Table3" displayName="Table3" ref="A1:B27" totalsRowShown="0">
  <autoFilter ref="A1:B27"/>
  <tableColumns count="2">
    <tableColumn id="1" name="eu_political_group_id"/>
    <tableColumn id="2" name="lookup_from_other_table">
      <calculatedColumnFormula>VLOOKUP(A2,Table2[#All],3,FALSE)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purl.oclc.org/ooxml/spreadsheetml/main" id="1" name="Table2" displayName="Table2" ref="A1:C44" totalsRowShown="0">
  <autoFilter ref="A1:C44"/>
  <tableColumns count="3">
    <tableColumn id="1" name="eu_political_group_id"/>
    <tableColumn id="2" name="EP_Acronym"/>
    <tableColumn id="3" name="EP_Party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021"/>
  <sheetViews>
    <sheetView tabSelected="1" workbookViewId="0">
      <selection activeCell="L22" sqref="L2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1121</v>
      </c>
    </row>
    <row r="2" spans="1:9" x14ac:dyDescent="0.2">
      <c r="A2">
        <v>256981</v>
      </c>
      <c r="B2" t="s">
        <v>8</v>
      </c>
      <c r="C2" t="s">
        <v>9</v>
      </c>
      <c r="D2" t="s">
        <v>10</v>
      </c>
      <c r="E2" t="s">
        <v>11</v>
      </c>
      <c r="F2" s="1" t="d">
        <v>2024-07-16</v>
      </c>
      <c r="I2" t="str">
        <f>VLOOKUP(D2,Table3[#All],2,FALSE)</f>
        <v>PfE</v>
      </c>
    </row>
    <row r="3" spans="1:9" x14ac:dyDescent="0.2">
      <c r="A3">
        <v>1917</v>
      </c>
      <c r="B3" t="s">
        <v>12</v>
      </c>
      <c r="C3" t="s">
        <v>13</v>
      </c>
      <c r="D3" t="s">
        <v>14</v>
      </c>
      <c r="E3" t="s">
        <v>11</v>
      </c>
      <c r="F3" s="1" t="d">
        <v>2024-07-16</v>
      </c>
      <c r="I3" t="str">
        <f>VLOOKUP(D3,Table3[#All],2,FALSE)</f>
        <v>EPP</v>
      </c>
    </row>
    <row r="4" spans="1:9" x14ac:dyDescent="0.2">
      <c r="A4">
        <v>257258</v>
      </c>
      <c r="B4" t="s">
        <v>15</v>
      </c>
      <c r="C4" t="s">
        <v>16</v>
      </c>
      <c r="D4" t="s">
        <v>17</v>
      </c>
      <c r="E4" t="s">
        <v>18</v>
      </c>
      <c r="F4" s="1" t="d">
        <v>2024-07-16</v>
      </c>
      <c r="I4" t="str">
        <f>VLOOKUP(D4,Table3[#All],2,FALSE)</f>
        <v>ECR</v>
      </c>
    </row>
    <row r="5" spans="1:9" x14ac:dyDescent="0.2">
      <c r="A5">
        <v>183916</v>
      </c>
      <c r="B5" t="s">
        <v>19</v>
      </c>
      <c r="C5" t="s">
        <v>13</v>
      </c>
      <c r="D5" t="s">
        <v>20</v>
      </c>
      <c r="E5" t="s">
        <v>11</v>
      </c>
      <c r="F5" s="1" t="d">
        <v>2024-07-16</v>
      </c>
      <c r="I5" t="str">
        <f>VLOOKUP(D5,Table3[#All],2,FALSE)</f>
        <v>Greens/EFA</v>
      </c>
    </row>
    <row r="6" spans="1:9" x14ac:dyDescent="0.2">
      <c r="A6">
        <v>197827</v>
      </c>
      <c r="B6" t="s">
        <v>21</v>
      </c>
      <c r="C6" t="s">
        <v>22</v>
      </c>
      <c r="D6" t="s">
        <v>23</v>
      </c>
      <c r="E6" t="s">
        <v>11</v>
      </c>
      <c r="F6" s="1" t="d">
        <v>2020-12-18</v>
      </c>
      <c r="G6" s="1" t="d">
        <v>2024-07-15</v>
      </c>
      <c r="I6" t="str">
        <f>VLOOKUP(D6,Table3[#All],2,FALSE)</f>
        <v>The Left</v>
      </c>
    </row>
    <row r="7" spans="1:9" x14ac:dyDescent="0.2">
      <c r="A7">
        <v>257099</v>
      </c>
      <c r="B7" t="s">
        <v>24</v>
      </c>
      <c r="C7" t="s">
        <v>25</v>
      </c>
      <c r="D7" t="s">
        <v>17</v>
      </c>
      <c r="E7" t="s">
        <v>11</v>
      </c>
      <c r="F7" s="1" t="d">
        <v>2024-07-16</v>
      </c>
      <c r="I7" t="str">
        <f>VLOOKUP(D7,Table3[#All],2,FALSE)</f>
        <v>ECR</v>
      </c>
    </row>
    <row r="8" spans="1:9" x14ac:dyDescent="0.2">
      <c r="A8">
        <v>197652</v>
      </c>
      <c r="B8" t="s">
        <v>26</v>
      </c>
      <c r="C8" t="s">
        <v>27</v>
      </c>
      <c r="D8" t="s">
        <v>14</v>
      </c>
      <c r="E8" t="s">
        <v>11</v>
      </c>
      <c r="F8" s="1" t="d">
        <v>2024-07-16</v>
      </c>
      <c r="I8" t="str">
        <f>VLOOKUP(D8,Table3[#All],2,FALSE)</f>
        <v>EPP</v>
      </c>
    </row>
    <row r="9" spans="1:9" x14ac:dyDescent="0.2">
      <c r="A9">
        <v>4246</v>
      </c>
      <c r="B9" t="s">
        <v>28</v>
      </c>
      <c r="C9" t="s">
        <v>27</v>
      </c>
      <c r="D9" t="s">
        <v>29</v>
      </c>
      <c r="E9" t="s">
        <v>11</v>
      </c>
      <c r="F9" s="1" t="d">
        <v>2019-07-02</v>
      </c>
      <c r="G9" s="1" t="d">
        <v>2024-07-15</v>
      </c>
      <c r="I9" t="str">
        <f>VLOOKUP(D9,Table3[#All],2,FALSE)</f>
        <v>EPP</v>
      </c>
    </row>
    <row r="10" spans="1:9" x14ac:dyDescent="0.2">
      <c r="A10">
        <v>125052</v>
      </c>
      <c r="B10" t="s">
        <v>30</v>
      </c>
      <c r="C10" t="s">
        <v>22</v>
      </c>
      <c r="D10" t="s">
        <v>10</v>
      </c>
      <c r="E10" t="s">
        <v>11</v>
      </c>
      <c r="F10" s="1" t="d">
        <v>2024-07-16</v>
      </c>
      <c r="I10" t="str">
        <f>VLOOKUP(D10,Table3[#All],2,FALSE)</f>
        <v>PfE</v>
      </c>
    </row>
    <row r="11" spans="1:9" x14ac:dyDescent="0.2">
      <c r="A11">
        <v>206158</v>
      </c>
      <c r="B11" t="s">
        <v>31</v>
      </c>
      <c r="C11" t="s">
        <v>13</v>
      </c>
      <c r="D11" t="s">
        <v>14</v>
      </c>
      <c r="E11" t="s">
        <v>11</v>
      </c>
      <c r="F11" s="1" t="d">
        <v>2024-07-16</v>
      </c>
      <c r="I11" t="str">
        <f>VLOOKUP(D11,Table3[#All],2,FALSE)</f>
        <v>EPP</v>
      </c>
    </row>
    <row r="12" spans="1:9" x14ac:dyDescent="0.2">
      <c r="A12">
        <v>256961</v>
      </c>
      <c r="B12" t="s">
        <v>32</v>
      </c>
      <c r="C12" t="s">
        <v>13</v>
      </c>
      <c r="D12" t="s">
        <v>33</v>
      </c>
      <c r="E12" t="s">
        <v>18</v>
      </c>
      <c r="F12" s="1" t="d">
        <v>2024-07-18</v>
      </c>
      <c r="I12" t="str">
        <f>VLOOKUP(D12,Table3[#All],2,FALSE)</f>
        <v>The Left</v>
      </c>
    </row>
    <row r="13" spans="1:9" x14ac:dyDescent="0.2">
      <c r="A13">
        <v>58766</v>
      </c>
      <c r="B13" t="s">
        <v>34</v>
      </c>
      <c r="C13" t="s">
        <v>35</v>
      </c>
      <c r="D13" t="s">
        <v>20</v>
      </c>
      <c r="E13" t="s">
        <v>11</v>
      </c>
      <c r="F13" s="1" t="d">
        <v>2024-07-16</v>
      </c>
      <c r="I13" t="str">
        <f>VLOOKUP(D13,Table3[#All],2,FALSE)</f>
        <v>Greens/EFA</v>
      </c>
    </row>
    <row r="14" spans="1:9" x14ac:dyDescent="0.2">
      <c r="A14">
        <v>256944</v>
      </c>
      <c r="B14" t="s">
        <v>36</v>
      </c>
      <c r="C14" t="s">
        <v>13</v>
      </c>
      <c r="D14" t="s">
        <v>37</v>
      </c>
      <c r="E14" t="s">
        <v>11</v>
      </c>
      <c r="F14" s="1" t="d">
        <v>2024-07-16</v>
      </c>
      <c r="I14" t="str">
        <f>VLOOKUP(D14,Table3[#All],2,FALSE)</f>
        <v>ESN</v>
      </c>
    </row>
    <row r="15" spans="1:9" x14ac:dyDescent="0.2">
      <c r="A15">
        <v>257169</v>
      </c>
      <c r="B15" t="s">
        <v>38</v>
      </c>
      <c r="C15" t="s">
        <v>25</v>
      </c>
      <c r="D15" t="s">
        <v>39</v>
      </c>
      <c r="E15" t="s">
        <v>11</v>
      </c>
      <c r="F15" s="1" t="d">
        <v>2024-07-16</v>
      </c>
      <c r="I15" t="str">
        <f>VLOOKUP(D15,Table3[#All],2,FALSE)</f>
        <v>S&amp;D</v>
      </c>
    </row>
    <row r="16" spans="1:9" x14ac:dyDescent="0.2">
      <c r="A16">
        <v>256847</v>
      </c>
      <c r="B16" t="s">
        <v>40</v>
      </c>
      <c r="C16" t="s">
        <v>41</v>
      </c>
      <c r="D16" t="s">
        <v>14</v>
      </c>
      <c r="E16" t="s">
        <v>11</v>
      </c>
      <c r="F16" s="1" t="d">
        <v>2024-07-16</v>
      </c>
      <c r="I16" t="str">
        <f>VLOOKUP(D16,Table3[#All],2,FALSE)</f>
        <v>EPP</v>
      </c>
    </row>
    <row r="17" spans="1:9" x14ac:dyDescent="0.2">
      <c r="A17">
        <v>107212</v>
      </c>
      <c r="B17" t="s">
        <v>42</v>
      </c>
      <c r="C17" t="s">
        <v>16</v>
      </c>
      <c r="D17" t="s">
        <v>14</v>
      </c>
      <c r="E17" t="s">
        <v>11</v>
      </c>
      <c r="F17" s="1" t="d">
        <v>2024-07-16</v>
      </c>
      <c r="I17" t="str">
        <f>VLOOKUP(D17,Table3[#All],2,FALSE)</f>
        <v>EPP</v>
      </c>
    </row>
    <row r="18" spans="1:9" x14ac:dyDescent="0.2">
      <c r="A18">
        <v>257072</v>
      </c>
      <c r="B18" t="s">
        <v>43</v>
      </c>
      <c r="C18" t="s">
        <v>44</v>
      </c>
      <c r="D18" t="s">
        <v>10</v>
      </c>
      <c r="E18" t="s">
        <v>11</v>
      </c>
      <c r="F18" s="1" t="d">
        <v>2024-10-01</v>
      </c>
      <c r="I18" t="str">
        <f>VLOOKUP(D18,Table3[#All],2,FALSE)</f>
        <v>PfE</v>
      </c>
    </row>
    <row r="19" spans="1:9" x14ac:dyDescent="0.2">
      <c r="A19">
        <v>256971</v>
      </c>
      <c r="B19" t="s">
        <v>45</v>
      </c>
      <c r="C19" t="s">
        <v>13</v>
      </c>
      <c r="D19" t="s">
        <v>46</v>
      </c>
      <c r="E19" t="s">
        <v>11</v>
      </c>
      <c r="F19" s="1" t="d">
        <v>2026-03-25</v>
      </c>
      <c r="I19" t="str">
        <f>VLOOKUP(D19,Table3[#All],2,FALSE)</f>
        <v>Renew Europe</v>
      </c>
    </row>
    <row r="20" spans="1:9" x14ac:dyDescent="0.2">
      <c r="A20">
        <v>256955</v>
      </c>
      <c r="B20" t="s">
        <v>47</v>
      </c>
      <c r="C20" t="s">
        <v>48</v>
      </c>
      <c r="D20" t="s">
        <v>49</v>
      </c>
      <c r="E20" t="s">
        <v>11</v>
      </c>
      <c r="F20" s="1" t="d">
        <v>2024-07-16</v>
      </c>
      <c r="I20" t="str">
        <f>VLOOKUP(D20,Table3[#All],2,FALSE)</f>
        <v>Non-attached</v>
      </c>
    </row>
    <row r="21" spans="1:9" x14ac:dyDescent="0.2">
      <c r="A21">
        <v>124802</v>
      </c>
      <c r="B21" t="s">
        <v>50</v>
      </c>
      <c r="C21" t="s">
        <v>35</v>
      </c>
      <c r="D21" t="s">
        <v>14</v>
      </c>
      <c r="E21" t="s">
        <v>51</v>
      </c>
      <c r="F21" s="1" t="d">
        <v>2024-07-16</v>
      </c>
      <c r="I21" t="str">
        <f>VLOOKUP(D21,Table3[#All],2,FALSE)</f>
        <v>EPP</v>
      </c>
    </row>
    <row r="22" spans="1:9" x14ac:dyDescent="0.2">
      <c r="A22">
        <v>257083</v>
      </c>
      <c r="B22" t="s">
        <v>52</v>
      </c>
      <c r="C22" t="s">
        <v>53</v>
      </c>
      <c r="D22" t="s">
        <v>33</v>
      </c>
      <c r="E22" t="s">
        <v>18</v>
      </c>
      <c r="F22" s="1" t="d">
        <v>2024-07-18</v>
      </c>
      <c r="I22" t="str">
        <f>VLOOKUP(D22,Table3[#All],2,FALSE)</f>
        <v>The Left</v>
      </c>
    </row>
    <row r="23" spans="1:9" x14ac:dyDescent="0.2">
      <c r="A23">
        <v>256987</v>
      </c>
      <c r="B23" t="s">
        <v>54</v>
      </c>
      <c r="C23" t="s">
        <v>22</v>
      </c>
      <c r="D23" t="s">
        <v>46</v>
      </c>
      <c r="E23" t="s">
        <v>18</v>
      </c>
      <c r="F23" s="1" t="d">
        <v>2024-07-16</v>
      </c>
      <c r="I23" t="str">
        <f>VLOOKUP(D23,Table3[#All],2,FALSE)</f>
        <v>Renew Europe</v>
      </c>
    </row>
    <row r="24" spans="1:9" x14ac:dyDescent="0.2">
      <c r="A24">
        <v>257060</v>
      </c>
      <c r="B24" t="s">
        <v>55</v>
      </c>
      <c r="C24" t="s">
        <v>44</v>
      </c>
      <c r="D24" t="s">
        <v>17</v>
      </c>
      <c r="E24" t="s">
        <v>11</v>
      </c>
      <c r="F24" s="1" t="d">
        <v>2024-07-16</v>
      </c>
      <c r="I24" t="str">
        <f>VLOOKUP(D24,Table3[#All],2,FALSE)</f>
        <v>ECR</v>
      </c>
    </row>
    <row r="25" spans="1:9" x14ac:dyDescent="0.2">
      <c r="A25">
        <v>125027</v>
      </c>
      <c r="B25" t="s">
        <v>56</v>
      </c>
      <c r="C25" t="s">
        <v>22</v>
      </c>
      <c r="D25" t="s">
        <v>14</v>
      </c>
      <c r="E25" t="s">
        <v>11</v>
      </c>
      <c r="F25" s="1" t="d">
        <v>2024-07-16</v>
      </c>
      <c r="I25" t="str">
        <f>VLOOKUP(D25,Table3[#All],2,FALSE)</f>
        <v>EPP</v>
      </c>
    </row>
    <row r="26" spans="1:9" x14ac:dyDescent="0.2">
      <c r="A26">
        <v>256871</v>
      </c>
      <c r="B26" t="s">
        <v>57</v>
      </c>
      <c r="C26" t="s">
        <v>58</v>
      </c>
      <c r="D26" t="s">
        <v>49</v>
      </c>
      <c r="E26" t="s">
        <v>11</v>
      </c>
      <c r="F26" s="1" t="d">
        <v>2025-04-19</v>
      </c>
      <c r="I26" t="str">
        <f>VLOOKUP(D26,Table3[#All],2,FALSE)</f>
        <v>Non-attached</v>
      </c>
    </row>
    <row r="27" spans="1:9" x14ac:dyDescent="0.2">
      <c r="A27">
        <v>197589</v>
      </c>
      <c r="B27" t="s">
        <v>59</v>
      </c>
      <c r="C27" t="s">
        <v>58</v>
      </c>
      <c r="D27" t="s">
        <v>46</v>
      </c>
      <c r="E27" t="s">
        <v>11</v>
      </c>
      <c r="F27" s="1" t="d">
        <v>2024-07-16</v>
      </c>
      <c r="I27" t="str">
        <f>VLOOKUP(D27,Table3[#All],2,FALSE)</f>
        <v>Renew Europe</v>
      </c>
    </row>
    <row r="28" spans="1:9" x14ac:dyDescent="0.2">
      <c r="A28">
        <v>28615</v>
      </c>
      <c r="B28" t="s">
        <v>60</v>
      </c>
      <c r="C28" t="s">
        <v>61</v>
      </c>
      <c r="D28" t="s">
        <v>17</v>
      </c>
      <c r="E28" t="s">
        <v>18</v>
      </c>
      <c r="F28" s="1" t="d">
        <v>2024-07-16</v>
      </c>
      <c r="I28" t="str">
        <f>VLOOKUP(D28,Table3[#All],2,FALSE)</f>
        <v>ECR</v>
      </c>
    </row>
    <row r="29" spans="1:9" x14ac:dyDescent="0.2">
      <c r="A29">
        <v>204449</v>
      </c>
      <c r="B29" t="s">
        <v>62</v>
      </c>
      <c r="C29" t="s">
        <v>63</v>
      </c>
      <c r="D29" t="s">
        <v>14</v>
      </c>
      <c r="E29" t="s">
        <v>11</v>
      </c>
      <c r="F29" s="1" t="d">
        <v>2024-07-16</v>
      </c>
      <c r="I29" t="str">
        <f>VLOOKUP(D29,Table3[#All],2,FALSE)</f>
        <v>EPP</v>
      </c>
    </row>
    <row r="30" spans="1:9" x14ac:dyDescent="0.2">
      <c r="A30">
        <v>197841</v>
      </c>
      <c r="B30" t="s">
        <v>64</v>
      </c>
      <c r="C30" t="s">
        <v>65</v>
      </c>
      <c r="D30" t="s">
        <v>14</v>
      </c>
      <c r="E30" t="s">
        <v>11</v>
      </c>
      <c r="F30" s="1" t="d">
        <v>2024-12-05</v>
      </c>
      <c r="I30" t="str">
        <f>VLOOKUP(D30,Table3[#All],2,FALSE)</f>
        <v>EPP</v>
      </c>
    </row>
    <row r="31" spans="1:9" x14ac:dyDescent="0.2">
      <c r="A31">
        <v>197786</v>
      </c>
      <c r="B31" t="s">
        <v>66</v>
      </c>
      <c r="C31" t="s">
        <v>25</v>
      </c>
      <c r="D31" t="s">
        <v>10</v>
      </c>
      <c r="E31" t="s">
        <v>51</v>
      </c>
      <c r="F31" s="1" t="d">
        <v>2026-05-19</v>
      </c>
      <c r="I31" t="str">
        <f>VLOOKUP(D31,Table3[#All],2,FALSE)</f>
        <v>PfE</v>
      </c>
    </row>
    <row r="32" spans="1:9" x14ac:dyDescent="0.2">
      <c r="A32">
        <v>257003</v>
      </c>
      <c r="B32" t="s">
        <v>67</v>
      </c>
      <c r="C32" t="s">
        <v>9</v>
      </c>
      <c r="D32" t="s">
        <v>46</v>
      </c>
      <c r="E32" t="s">
        <v>11</v>
      </c>
      <c r="F32" s="1" t="d">
        <v>2024-07-16</v>
      </c>
      <c r="I32" t="str">
        <f>VLOOKUP(D32,Table3[#All],2,FALSE)</f>
        <v>Renew Europe</v>
      </c>
    </row>
    <row r="33" spans="1:9" x14ac:dyDescent="0.2">
      <c r="A33">
        <v>204332</v>
      </c>
      <c r="B33" t="s">
        <v>68</v>
      </c>
      <c r="C33" t="s">
        <v>69</v>
      </c>
      <c r="D33" t="s">
        <v>46</v>
      </c>
      <c r="E33" t="s">
        <v>11</v>
      </c>
      <c r="F33" s="1" t="d">
        <v>2024-07-16</v>
      </c>
      <c r="I33" t="str">
        <f>VLOOKUP(D33,Table3[#All],2,FALSE)</f>
        <v>Renew Europe</v>
      </c>
    </row>
    <row r="34" spans="1:9" x14ac:dyDescent="0.2">
      <c r="A34">
        <v>123562</v>
      </c>
      <c r="B34" t="s">
        <v>70</v>
      </c>
      <c r="C34" t="s">
        <v>71</v>
      </c>
      <c r="D34" t="s">
        <v>17</v>
      </c>
      <c r="E34" t="s">
        <v>51</v>
      </c>
      <c r="F34" s="1" t="d">
        <v>2024-07-16</v>
      </c>
      <c r="I34" t="str">
        <f>VLOOKUP(D34,Table3[#All],2,FALSE)</f>
        <v>ECR</v>
      </c>
    </row>
    <row r="35" spans="1:9" x14ac:dyDescent="0.2">
      <c r="A35">
        <v>118859</v>
      </c>
      <c r="B35" t="s">
        <v>72</v>
      </c>
      <c r="C35" t="s">
        <v>73</v>
      </c>
      <c r="D35" t="s">
        <v>14</v>
      </c>
      <c r="E35" t="s">
        <v>11</v>
      </c>
      <c r="F35" s="1" t="d">
        <v>2024-07-16</v>
      </c>
      <c r="I35" t="str">
        <f>VLOOKUP(D35,Table3[#All],2,FALSE)</f>
        <v>EPP</v>
      </c>
    </row>
    <row r="36" spans="1:9" x14ac:dyDescent="0.2">
      <c r="A36">
        <v>257073</v>
      </c>
      <c r="B36" t="s">
        <v>74</v>
      </c>
      <c r="C36" t="s">
        <v>44</v>
      </c>
      <c r="D36" t="s">
        <v>17</v>
      </c>
      <c r="E36" t="s">
        <v>11</v>
      </c>
      <c r="F36" s="1" t="d">
        <v>2024-07-16</v>
      </c>
      <c r="I36" t="str">
        <f>VLOOKUP(D36,Table3[#All],2,FALSE)</f>
        <v>ECR</v>
      </c>
    </row>
    <row r="37" spans="1:9" x14ac:dyDescent="0.2">
      <c r="A37">
        <v>257120</v>
      </c>
      <c r="B37" t="s">
        <v>75</v>
      </c>
      <c r="C37" t="s">
        <v>35</v>
      </c>
      <c r="D37" t="s">
        <v>49</v>
      </c>
      <c r="E37" t="s">
        <v>11</v>
      </c>
      <c r="F37" s="1" t="d">
        <v>2024-07-16</v>
      </c>
      <c r="I37" t="str">
        <f>VLOOKUP(D37,Table3[#All],2,FALSE)</f>
        <v>Non-attached</v>
      </c>
    </row>
    <row r="38" spans="1:9" x14ac:dyDescent="0.2">
      <c r="A38">
        <v>197501</v>
      </c>
      <c r="B38" t="s">
        <v>76</v>
      </c>
      <c r="C38" t="s">
        <v>44</v>
      </c>
      <c r="D38" t="s">
        <v>17</v>
      </c>
      <c r="E38" t="s">
        <v>18</v>
      </c>
      <c r="F38" s="1" t="d">
        <v>2024-12-17</v>
      </c>
      <c r="I38" t="str">
        <f>VLOOKUP(D38,Table3[#All],2,FALSE)</f>
        <v>ECR</v>
      </c>
    </row>
    <row r="39" spans="1:9" x14ac:dyDescent="0.2">
      <c r="A39">
        <v>197718</v>
      </c>
      <c r="B39" t="s">
        <v>77</v>
      </c>
      <c r="C39" t="s">
        <v>22</v>
      </c>
      <c r="D39" t="s">
        <v>39</v>
      </c>
      <c r="E39" t="s">
        <v>11</v>
      </c>
      <c r="F39" s="1" t="d">
        <v>2024-07-16</v>
      </c>
      <c r="I39" t="str">
        <f>VLOOKUP(D39,Table3[#All],2,FALSE)</f>
        <v>S&amp;D</v>
      </c>
    </row>
    <row r="40" spans="1:9" x14ac:dyDescent="0.2">
      <c r="A40">
        <v>221463</v>
      </c>
      <c r="B40" t="s">
        <v>78</v>
      </c>
      <c r="C40" t="s">
        <v>79</v>
      </c>
      <c r="D40" t="s">
        <v>80</v>
      </c>
      <c r="E40" t="s">
        <v>18</v>
      </c>
      <c r="F40" s="1" t="d">
        <v>2021-07-06</v>
      </c>
      <c r="G40" s="1" t="d">
        <v>2024-07-15</v>
      </c>
      <c r="I40" t="str">
        <f>VLOOKUP(D40,Table3[#All],2,FALSE)</f>
        <v>ECR</v>
      </c>
    </row>
    <row r="41" spans="1:9" x14ac:dyDescent="0.2">
      <c r="A41">
        <v>256941</v>
      </c>
      <c r="B41" t="s">
        <v>81</v>
      </c>
      <c r="C41" t="s">
        <v>13</v>
      </c>
      <c r="D41" t="s">
        <v>37</v>
      </c>
      <c r="E41" t="s">
        <v>11</v>
      </c>
      <c r="F41" s="1" t="d">
        <v>2024-07-16</v>
      </c>
      <c r="I41" t="str">
        <f>VLOOKUP(D41,Table3[#All],2,FALSE)</f>
        <v>ESN</v>
      </c>
    </row>
    <row r="42" spans="1:9" x14ac:dyDescent="0.2">
      <c r="A42">
        <v>189065</v>
      </c>
      <c r="B42" t="s">
        <v>82</v>
      </c>
      <c r="C42" t="s">
        <v>58</v>
      </c>
      <c r="D42" t="s">
        <v>10</v>
      </c>
      <c r="E42" t="s">
        <v>11</v>
      </c>
      <c r="F42" s="1" t="d">
        <v>2024-07-16</v>
      </c>
      <c r="I42" t="str">
        <f>VLOOKUP(D42,Table3[#All],2,FALSE)</f>
        <v>PfE</v>
      </c>
    </row>
    <row r="43" spans="1:9" x14ac:dyDescent="0.2">
      <c r="A43">
        <v>201945</v>
      </c>
      <c r="B43" t="s">
        <v>83</v>
      </c>
      <c r="C43" t="s">
        <v>65</v>
      </c>
      <c r="D43" t="s">
        <v>20</v>
      </c>
      <c r="E43" t="s">
        <v>51</v>
      </c>
      <c r="F43" s="1" t="d">
        <v>2024-11-13</v>
      </c>
      <c r="I43" t="str">
        <f>VLOOKUP(D43,Table3[#All],2,FALSE)</f>
        <v>Greens/EFA</v>
      </c>
    </row>
    <row r="44" spans="1:9" x14ac:dyDescent="0.2">
      <c r="A44">
        <v>197414</v>
      </c>
      <c r="B44" t="s">
        <v>84</v>
      </c>
      <c r="C44" t="s">
        <v>85</v>
      </c>
      <c r="D44" t="s">
        <v>14</v>
      </c>
      <c r="E44" t="s">
        <v>11</v>
      </c>
      <c r="F44" s="1" t="d">
        <v>2024-07-16</v>
      </c>
      <c r="I44" t="str">
        <f>VLOOKUP(D44,Table3[#All],2,FALSE)</f>
        <v>EPP</v>
      </c>
    </row>
    <row r="45" spans="1:9" x14ac:dyDescent="0.2">
      <c r="A45">
        <v>257012</v>
      </c>
      <c r="B45" t="s">
        <v>86</v>
      </c>
      <c r="C45" t="s">
        <v>22</v>
      </c>
      <c r="D45" t="s">
        <v>33</v>
      </c>
      <c r="E45" t="s">
        <v>18</v>
      </c>
      <c r="F45" s="1" t="d">
        <v>2024-07-18</v>
      </c>
      <c r="I45" t="str">
        <f>VLOOKUP(D45,Table3[#All],2,FALSE)</f>
        <v>The Left</v>
      </c>
    </row>
    <row r="46" spans="1:9" x14ac:dyDescent="0.2">
      <c r="A46">
        <v>96787</v>
      </c>
      <c r="B46" t="s">
        <v>87</v>
      </c>
      <c r="C46" t="s">
        <v>25</v>
      </c>
      <c r="D46" t="s">
        <v>14</v>
      </c>
      <c r="E46" t="s">
        <v>11</v>
      </c>
      <c r="F46" s="1" t="d">
        <v>2024-07-16</v>
      </c>
      <c r="I46" t="str">
        <f>VLOOKUP(D46,Table3[#All],2,FALSE)</f>
        <v>EPP</v>
      </c>
    </row>
    <row r="47" spans="1:9" x14ac:dyDescent="0.2">
      <c r="A47">
        <v>96810</v>
      </c>
      <c r="B47" t="s">
        <v>88</v>
      </c>
      <c r="C47" t="s">
        <v>25</v>
      </c>
      <c r="D47" t="s">
        <v>17</v>
      </c>
      <c r="E47" t="s">
        <v>18</v>
      </c>
      <c r="F47" s="1" t="d">
        <v>2024-07-16</v>
      </c>
      <c r="I47" t="str">
        <f>VLOOKUP(D47,Table3[#All],2,FALSE)</f>
        <v>ECR</v>
      </c>
    </row>
    <row r="48" spans="1:9" x14ac:dyDescent="0.2">
      <c r="A48">
        <v>257085</v>
      </c>
      <c r="B48" t="s">
        <v>89</v>
      </c>
      <c r="C48" t="s">
        <v>44</v>
      </c>
      <c r="D48" t="s">
        <v>39</v>
      </c>
      <c r="E48" t="s">
        <v>11</v>
      </c>
      <c r="F48" s="1" t="d">
        <v>2024-07-16</v>
      </c>
      <c r="I48" t="str">
        <f>VLOOKUP(D48,Table3[#All],2,FALSE)</f>
        <v>S&amp;D</v>
      </c>
    </row>
    <row r="49" spans="1:9" x14ac:dyDescent="0.2">
      <c r="A49">
        <v>256948</v>
      </c>
      <c r="B49" t="s">
        <v>90</v>
      </c>
      <c r="C49" t="s">
        <v>13</v>
      </c>
      <c r="D49" t="s">
        <v>37</v>
      </c>
      <c r="E49" t="s">
        <v>11</v>
      </c>
      <c r="F49" s="1" t="d">
        <v>2024-07-16</v>
      </c>
      <c r="I49" t="str">
        <f>VLOOKUP(D49,Table3[#All],2,FALSE)</f>
        <v>ESN</v>
      </c>
    </row>
    <row r="50" spans="1:9" x14ac:dyDescent="0.2">
      <c r="A50">
        <v>257119</v>
      </c>
      <c r="B50" t="s">
        <v>91</v>
      </c>
      <c r="C50" t="s">
        <v>35</v>
      </c>
      <c r="D50" t="s">
        <v>17</v>
      </c>
      <c r="E50" t="s">
        <v>11</v>
      </c>
      <c r="F50" s="1" t="d">
        <v>2024-07-16</v>
      </c>
      <c r="I50" t="str">
        <f>VLOOKUP(D50,Table3[#All],2,FALSE)</f>
        <v>ECR</v>
      </c>
    </row>
    <row r="51" spans="1:9" x14ac:dyDescent="0.2">
      <c r="A51">
        <v>198176</v>
      </c>
      <c r="B51" t="s">
        <v>92</v>
      </c>
      <c r="C51" t="s">
        <v>27</v>
      </c>
      <c r="D51" t="s">
        <v>10</v>
      </c>
      <c r="E51" t="s">
        <v>11</v>
      </c>
      <c r="F51" s="1" t="d">
        <v>2024-07-16</v>
      </c>
      <c r="I51" t="str">
        <f>VLOOKUP(D51,Table3[#All],2,FALSE)</f>
        <v>PfE</v>
      </c>
    </row>
    <row r="52" spans="1:9" x14ac:dyDescent="0.2">
      <c r="A52">
        <v>197778</v>
      </c>
      <c r="B52" t="s">
        <v>93</v>
      </c>
      <c r="C52" t="s">
        <v>9</v>
      </c>
      <c r="D52" t="s">
        <v>14</v>
      </c>
      <c r="E52" t="s">
        <v>11</v>
      </c>
      <c r="F52" s="1" t="d">
        <v>2024-07-16</v>
      </c>
      <c r="G52" s="1" t="d">
        <v>2026-02-22</v>
      </c>
      <c r="I52" t="str">
        <f>VLOOKUP(D52,Table3[#All],2,FALSE)</f>
        <v>EPP</v>
      </c>
    </row>
    <row r="53" spans="1:9" x14ac:dyDescent="0.2">
      <c r="A53">
        <v>124846</v>
      </c>
      <c r="B53" t="s">
        <v>94</v>
      </c>
      <c r="C53" t="s">
        <v>25</v>
      </c>
      <c r="D53" t="s">
        <v>39</v>
      </c>
      <c r="E53" t="s">
        <v>11</v>
      </c>
      <c r="F53" s="1" t="d">
        <v>2024-07-16</v>
      </c>
      <c r="I53" t="str">
        <f>VLOOKUP(D53,Table3[#All],2,FALSE)</f>
        <v>S&amp;D</v>
      </c>
    </row>
    <row r="54" spans="1:9" x14ac:dyDescent="0.2">
      <c r="A54">
        <v>256810</v>
      </c>
      <c r="B54" t="s">
        <v>95</v>
      </c>
      <c r="C54" t="s">
        <v>96</v>
      </c>
      <c r="D54" t="s">
        <v>14</v>
      </c>
      <c r="E54" t="s">
        <v>11</v>
      </c>
      <c r="F54" s="1" t="d">
        <v>2024-07-16</v>
      </c>
      <c r="I54" t="str">
        <f>VLOOKUP(D54,Table3[#All],2,FALSE)</f>
        <v>EPP</v>
      </c>
    </row>
    <row r="55" spans="1:9" x14ac:dyDescent="0.2">
      <c r="A55">
        <v>197494</v>
      </c>
      <c r="B55" t="s">
        <v>97</v>
      </c>
      <c r="C55" t="s">
        <v>58</v>
      </c>
      <c r="D55" t="s">
        <v>46</v>
      </c>
      <c r="E55" t="s">
        <v>11</v>
      </c>
      <c r="F55" s="1" t="d">
        <v>2024-07-16</v>
      </c>
      <c r="I55" t="str">
        <f>VLOOKUP(D55,Table3[#All],2,FALSE)</f>
        <v>Renew Europe</v>
      </c>
    </row>
    <row r="56" spans="1:9" x14ac:dyDescent="0.2">
      <c r="A56">
        <v>256806</v>
      </c>
      <c r="B56" t="s">
        <v>98</v>
      </c>
      <c r="C56" t="s">
        <v>96</v>
      </c>
      <c r="D56" t="s">
        <v>17</v>
      </c>
      <c r="E56" t="s">
        <v>18</v>
      </c>
      <c r="F56" s="1" t="d">
        <v>2024-07-16</v>
      </c>
      <c r="I56" t="str">
        <f>VLOOKUP(D56,Table3[#All],2,FALSE)</f>
        <v>ECR</v>
      </c>
    </row>
    <row r="57" spans="1:9" x14ac:dyDescent="0.2">
      <c r="A57">
        <v>197810</v>
      </c>
      <c r="B57" t="s">
        <v>99</v>
      </c>
      <c r="C57" t="s">
        <v>61</v>
      </c>
      <c r="D57" t="s">
        <v>39</v>
      </c>
      <c r="E57" t="s">
        <v>11</v>
      </c>
      <c r="F57" s="1" t="d">
        <v>2024-07-16</v>
      </c>
      <c r="I57" t="str">
        <f>VLOOKUP(D57,Table3[#All],2,FALSE)</f>
        <v>S&amp;D</v>
      </c>
    </row>
    <row r="58" spans="1:9" x14ac:dyDescent="0.2">
      <c r="A58">
        <v>257067</v>
      </c>
      <c r="B58" t="s">
        <v>100</v>
      </c>
      <c r="C58" t="s">
        <v>44</v>
      </c>
      <c r="D58" t="s">
        <v>49</v>
      </c>
      <c r="E58" t="s">
        <v>11</v>
      </c>
      <c r="F58" s="1" t="d">
        <v>2024-07-16</v>
      </c>
      <c r="I58" t="str">
        <f>VLOOKUP(D58,Table3[#All],2,FALSE)</f>
        <v>Non-attached</v>
      </c>
    </row>
    <row r="59" spans="1:9" x14ac:dyDescent="0.2">
      <c r="A59">
        <v>197543</v>
      </c>
      <c r="B59" t="s">
        <v>101</v>
      </c>
      <c r="C59" t="s">
        <v>58</v>
      </c>
      <c r="D59" t="s">
        <v>46</v>
      </c>
      <c r="E59" t="s">
        <v>11</v>
      </c>
      <c r="F59" s="1" t="d">
        <v>2024-07-16</v>
      </c>
      <c r="I59" t="str">
        <f>VLOOKUP(D59,Table3[#All],2,FALSE)</f>
        <v>Renew Europe</v>
      </c>
    </row>
    <row r="60" spans="1:9" x14ac:dyDescent="0.2">
      <c r="A60">
        <v>257110</v>
      </c>
      <c r="B60" t="s">
        <v>102</v>
      </c>
      <c r="C60" t="s">
        <v>35</v>
      </c>
      <c r="D60" t="s">
        <v>46</v>
      </c>
      <c r="E60" t="s">
        <v>18</v>
      </c>
      <c r="F60" s="1" t="d">
        <v>2024-07-16</v>
      </c>
      <c r="I60" t="str">
        <f>VLOOKUP(D60,Table3[#All],2,FALSE)</f>
        <v>Renew Europe</v>
      </c>
    </row>
    <row r="61" spans="1:9" x14ac:dyDescent="0.2">
      <c r="A61">
        <v>124806</v>
      </c>
      <c r="B61" t="s">
        <v>103</v>
      </c>
      <c r="C61" t="s">
        <v>13</v>
      </c>
      <c r="D61" t="s">
        <v>14</v>
      </c>
      <c r="E61" t="s">
        <v>11</v>
      </c>
      <c r="F61" s="1" t="d">
        <v>2024-07-16</v>
      </c>
      <c r="I61" t="str">
        <f>VLOOKUP(D61,Table3[#All],2,FALSE)</f>
        <v>EPP</v>
      </c>
    </row>
    <row r="62" spans="1:9" x14ac:dyDescent="0.2">
      <c r="A62">
        <v>256957</v>
      </c>
      <c r="B62" t="s">
        <v>104</v>
      </c>
      <c r="C62" t="s">
        <v>13</v>
      </c>
      <c r="D62" t="s">
        <v>37</v>
      </c>
      <c r="E62" t="s">
        <v>11</v>
      </c>
      <c r="F62" s="1" t="d">
        <v>2024-07-16</v>
      </c>
      <c r="I62" t="str">
        <f>VLOOKUP(D62,Table3[#All],2,FALSE)</f>
        <v>ESN</v>
      </c>
    </row>
    <row r="63" spans="1:9" x14ac:dyDescent="0.2">
      <c r="A63">
        <v>96936</v>
      </c>
      <c r="B63" t="s">
        <v>105</v>
      </c>
      <c r="C63" t="s">
        <v>22</v>
      </c>
      <c r="D63" t="s">
        <v>14</v>
      </c>
      <c r="E63" t="s">
        <v>11</v>
      </c>
      <c r="F63" s="1" t="d">
        <v>2024-07-16</v>
      </c>
      <c r="I63" t="str">
        <f>VLOOKUP(D63,Table3[#All],2,FALSE)</f>
        <v>EPP</v>
      </c>
    </row>
    <row r="64" spans="1:9" x14ac:dyDescent="0.2">
      <c r="A64">
        <v>256994</v>
      </c>
      <c r="B64" t="s">
        <v>106</v>
      </c>
      <c r="C64" t="s">
        <v>22</v>
      </c>
      <c r="D64" t="s">
        <v>39</v>
      </c>
      <c r="E64" t="s">
        <v>11</v>
      </c>
      <c r="F64" s="1" t="d">
        <v>2024-07-16</v>
      </c>
      <c r="I64" t="str">
        <f>VLOOKUP(D64,Table3[#All],2,FALSE)</f>
        <v>S&amp;D</v>
      </c>
    </row>
    <row r="65" spans="1:9" x14ac:dyDescent="0.2">
      <c r="A65">
        <v>256864</v>
      </c>
      <c r="B65" t="s">
        <v>107</v>
      </c>
      <c r="C65" t="s">
        <v>108</v>
      </c>
      <c r="D65" t="s">
        <v>14</v>
      </c>
      <c r="E65" t="s">
        <v>11</v>
      </c>
      <c r="F65" s="1" t="d">
        <v>2024-07-16</v>
      </c>
      <c r="I65" t="str">
        <f>VLOOKUP(D65,Table3[#All],2,FALSE)</f>
        <v>EPP</v>
      </c>
    </row>
    <row r="66" spans="1:9" x14ac:dyDescent="0.2">
      <c r="A66">
        <v>38511</v>
      </c>
      <c r="B66" t="s">
        <v>109</v>
      </c>
      <c r="C66" t="s">
        <v>27</v>
      </c>
      <c r="D66" t="s">
        <v>10</v>
      </c>
      <c r="E66" t="s">
        <v>11</v>
      </c>
      <c r="F66" s="1" t="d">
        <v>2024-07-16</v>
      </c>
      <c r="I66" t="str">
        <f>VLOOKUP(D66,Table3[#All],2,FALSE)</f>
        <v>PfE</v>
      </c>
    </row>
    <row r="67" spans="1:9" x14ac:dyDescent="0.2">
      <c r="A67">
        <v>96998</v>
      </c>
      <c r="B67" t="s">
        <v>110</v>
      </c>
      <c r="C67" t="s">
        <v>27</v>
      </c>
      <c r="D67" t="s">
        <v>39</v>
      </c>
      <c r="E67" t="s">
        <v>11</v>
      </c>
      <c r="F67" s="1" t="d">
        <v>2024-07-16</v>
      </c>
      <c r="I67" t="str">
        <f>VLOOKUP(D67,Table3[#All],2,FALSE)</f>
        <v>S&amp;D</v>
      </c>
    </row>
    <row r="68" spans="1:9" x14ac:dyDescent="0.2">
      <c r="A68">
        <v>99283</v>
      </c>
      <c r="B68" t="s">
        <v>111</v>
      </c>
      <c r="C68" t="s">
        <v>25</v>
      </c>
      <c r="D68" t="s">
        <v>112</v>
      </c>
      <c r="E68" t="s">
        <v>11</v>
      </c>
      <c r="F68" s="1" t="d">
        <v>2019-07-02</v>
      </c>
      <c r="G68" s="1" t="d">
        <v>2024-07-15</v>
      </c>
      <c r="I68" t="str">
        <f>VLOOKUP(D68,Table3[#All],2,FALSE)</f>
        <v>ID</v>
      </c>
    </row>
    <row r="69" spans="1:9" x14ac:dyDescent="0.2">
      <c r="A69">
        <v>24922</v>
      </c>
      <c r="B69" t="s">
        <v>113</v>
      </c>
      <c r="C69" t="s">
        <v>114</v>
      </c>
      <c r="D69" t="s">
        <v>14</v>
      </c>
      <c r="E69" t="s">
        <v>11</v>
      </c>
      <c r="F69" s="1" t="d">
        <v>2024-07-16</v>
      </c>
      <c r="I69" t="str">
        <f>VLOOKUP(D69,Table3[#All],2,FALSE)</f>
        <v>EPP</v>
      </c>
    </row>
    <row r="70" spans="1:9" x14ac:dyDescent="0.2">
      <c r="A70">
        <v>256874</v>
      </c>
      <c r="B70" t="s">
        <v>115</v>
      </c>
      <c r="C70" t="s">
        <v>58</v>
      </c>
      <c r="D70" t="s">
        <v>10</v>
      </c>
      <c r="E70" t="s">
        <v>11</v>
      </c>
      <c r="F70" s="1" t="d">
        <v>2024-07-16</v>
      </c>
      <c r="I70" t="str">
        <f>VLOOKUP(D70,Table3[#All],2,FALSE)</f>
        <v>PfE</v>
      </c>
    </row>
    <row r="71" spans="1:9" x14ac:dyDescent="0.2">
      <c r="A71">
        <v>124984</v>
      </c>
      <c r="B71" t="s">
        <v>116</v>
      </c>
      <c r="C71" t="s">
        <v>69</v>
      </c>
      <c r="D71" t="s">
        <v>33</v>
      </c>
      <c r="E71" t="s">
        <v>18</v>
      </c>
      <c r="F71" s="1" t="d">
        <v>2024-07-18</v>
      </c>
      <c r="I71" t="str">
        <f>VLOOKUP(D71,Table3[#All],2,FALSE)</f>
        <v>The Left</v>
      </c>
    </row>
    <row r="72" spans="1:9" x14ac:dyDescent="0.2">
      <c r="A72">
        <v>197445</v>
      </c>
      <c r="B72" t="s">
        <v>117</v>
      </c>
      <c r="C72" t="s">
        <v>13</v>
      </c>
      <c r="D72" t="s">
        <v>46</v>
      </c>
      <c r="E72" t="s">
        <v>11</v>
      </c>
      <c r="F72" s="1" t="d">
        <v>2024-07-16</v>
      </c>
      <c r="I72" t="str">
        <f>VLOOKUP(D72,Table3[#All],2,FALSE)</f>
        <v>Renew Europe</v>
      </c>
    </row>
    <row r="73" spans="1:9" x14ac:dyDescent="0.2">
      <c r="A73">
        <v>135511</v>
      </c>
      <c r="B73" t="s">
        <v>118</v>
      </c>
      <c r="C73" t="s">
        <v>58</v>
      </c>
      <c r="D73" t="s">
        <v>46</v>
      </c>
      <c r="E73" t="s">
        <v>119</v>
      </c>
      <c r="F73" s="1" t="d">
        <v>2024-07-16</v>
      </c>
      <c r="I73" t="str">
        <f>VLOOKUP(D73,Table3[#All],2,FALSE)</f>
        <v>Renew Europe</v>
      </c>
    </row>
    <row r="74" spans="1:9" x14ac:dyDescent="0.2">
      <c r="A74">
        <v>124850</v>
      </c>
      <c r="B74" t="s">
        <v>120</v>
      </c>
      <c r="C74" t="s">
        <v>16</v>
      </c>
      <c r="D74" t="s">
        <v>14</v>
      </c>
      <c r="E74" t="s">
        <v>11</v>
      </c>
      <c r="F74" s="1" t="d">
        <v>2024-07-16</v>
      </c>
      <c r="I74" t="str">
        <f>VLOOKUP(D74,Table3[#All],2,FALSE)</f>
        <v>EPP</v>
      </c>
    </row>
    <row r="75" spans="1:9" x14ac:dyDescent="0.2">
      <c r="A75">
        <v>124785</v>
      </c>
      <c r="B75" t="s">
        <v>121</v>
      </c>
      <c r="C75" t="s">
        <v>35</v>
      </c>
      <c r="D75" t="s">
        <v>39</v>
      </c>
      <c r="E75" t="s">
        <v>11</v>
      </c>
      <c r="F75" s="1" t="d">
        <v>2024-07-16</v>
      </c>
      <c r="I75" t="str">
        <f>VLOOKUP(D75,Table3[#All],2,FALSE)</f>
        <v>S&amp;D</v>
      </c>
    </row>
    <row r="76" spans="1:9" x14ac:dyDescent="0.2">
      <c r="A76">
        <v>197694</v>
      </c>
      <c r="B76" t="s">
        <v>122</v>
      </c>
      <c r="C76" t="s">
        <v>58</v>
      </c>
      <c r="D76" t="s">
        <v>39</v>
      </c>
      <c r="E76" t="s">
        <v>11</v>
      </c>
      <c r="F76" s="1" t="d">
        <v>2024-07-16</v>
      </c>
      <c r="I76" t="str">
        <f>VLOOKUP(D76,Table3[#All],2,FALSE)</f>
        <v>S&amp;D</v>
      </c>
    </row>
    <row r="77" spans="1:9" x14ac:dyDescent="0.2">
      <c r="A77">
        <v>96668</v>
      </c>
      <c r="B77" t="s">
        <v>123</v>
      </c>
      <c r="C77" t="s">
        <v>69</v>
      </c>
      <c r="D77" t="s">
        <v>14</v>
      </c>
      <c r="E77" t="s">
        <v>11</v>
      </c>
      <c r="F77" s="1" t="d">
        <v>2024-07-16</v>
      </c>
      <c r="I77" t="str">
        <f>VLOOKUP(D77,Table3[#All],2,FALSE)</f>
        <v>EPP</v>
      </c>
    </row>
    <row r="78" spans="1:9" x14ac:dyDescent="0.2">
      <c r="A78">
        <v>257147</v>
      </c>
      <c r="B78" t="s">
        <v>124</v>
      </c>
      <c r="C78" t="s">
        <v>25</v>
      </c>
      <c r="D78" t="s">
        <v>17</v>
      </c>
      <c r="E78" t="s">
        <v>11</v>
      </c>
      <c r="F78" s="1" t="d">
        <v>2024-07-16</v>
      </c>
      <c r="I78" t="str">
        <f>VLOOKUP(D78,Table3[#All],2,FALSE)</f>
        <v>ECR</v>
      </c>
    </row>
    <row r="79" spans="1:9" x14ac:dyDescent="0.2">
      <c r="A79">
        <v>197500</v>
      </c>
      <c r="B79" t="s">
        <v>125</v>
      </c>
      <c r="C79" t="s">
        <v>58</v>
      </c>
      <c r="D79" t="s">
        <v>20</v>
      </c>
      <c r="E79" t="s">
        <v>11</v>
      </c>
      <c r="F79" s="1" t="d">
        <v>2024-07-16</v>
      </c>
      <c r="I79" t="str">
        <f>VLOOKUP(D79,Table3[#All],2,FALSE)</f>
        <v>Greens/EFA</v>
      </c>
    </row>
    <row r="80" spans="1:9" x14ac:dyDescent="0.2">
      <c r="A80">
        <v>197466</v>
      </c>
      <c r="B80" t="s">
        <v>126</v>
      </c>
      <c r="C80" t="s">
        <v>13</v>
      </c>
      <c r="D80" t="s">
        <v>20</v>
      </c>
      <c r="E80" t="s">
        <v>11</v>
      </c>
      <c r="F80" s="1" t="d">
        <v>2024-07-16</v>
      </c>
      <c r="I80" t="str">
        <f>VLOOKUP(D80,Table3[#All],2,FALSE)</f>
        <v>Greens/EFA</v>
      </c>
    </row>
    <row r="81" spans="1:9" x14ac:dyDescent="0.2">
      <c r="A81">
        <v>257118</v>
      </c>
      <c r="B81" t="s">
        <v>127</v>
      </c>
      <c r="C81" t="s">
        <v>35</v>
      </c>
      <c r="D81" t="s">
        <v>49</v>
      </c>
      <c r="E81" t="s">
        <v>11</v>
      </c>
      <c r="F81" s="1" t="d">
        <v>2024-07-16</v>
      </c>
      <c r="I81" t="str">
        <f>VLOOKUP(D81,Table3[#All],2,FALSE)</f>
        <v>Non-attached</v>
      </c>
    </row>
    <row r="82" spans="1:9" x14ac:dyDescent="0.2">
      <c r="A82">
        <v>256921</v>
      </c>
      <c r="B82" t="s">
        <v>128</v>
      </c>
      <c r="C82" t="s">
        <v>58</v>
      </c>
      <c r="D82" t="s">
        <v>10</v>
      </c>
      <c r="E82" t="s">
        <v>11</v>
      </c>
      <c r="F82" s="1" t="d">
        <v>2026-01-21</v>
      </c>
      <c r="I82" t="str">
        <f>VLOOKUP(D82,Table3[#All],2,FALSE)</f>
        <v>PfE</v>
      </c>
    </row>
    <row r="83" spans="1:9" x14ac:dyDescent="0.2">
      <c r="A83">
        <v>256820</v>
      </c>
      <c r="B83" t="s">
        <v>129</v>
      </c>
      <c r="C83" t="s">
        <v>48</v>
      </c>
      <c r="D83" t="s">
        <v>14</v>
      </c>
      <c r="E83" t="s">
        <v>11</v>
      </c>
      <c r="F83" s="1" t="d">
        <v>2024-07-16</v>
      </c>
      <c r="I83" t="str">
        <f>VLOOKUP(D83,Table3[#All],2,FALSE)</f>
        <v>EPP</v>
      </c>
    </row>
    <row r="84" spans="1:9" x14ac:dyDescent="0.2">
      <c r="A84">
        <v>124875</v>
      </c>
      <c r="B84" t="s">
        <v>130</v>
      </c>
      <c r="C84" t="s">
        <v>131</v>
      </c>
      <c r="D84" t="s">
        <v>10</v>
      </c>
      <c r="E84" t="s">
        <v>18</v>
      </c>
      <c r="F84" s="1" t="d">
        <v>2024-07-16</v>
      </c>
      <c r="G84" s="1" t="d">
        <v>2026-04-13</v>
      </c>
      <c r="I84" t="str">
        <f>VLOOKUP(D84,Table3[#All],2,FALSE)</f>
        <v>PfE</v>
      </c>
    </row>
    <row r="85" spans="1:9" x14ac:dyDescent="0.2">
      <c r="A85">
        <v>197571</v>
      </c>
      <c r="B85" t="s">
        <v>132</v>
      </c>
      <c r="C85" t="s">
        <v>131</v>
      </c>
      <c r="D85" t="s">
        <v>23</v>
      </c>
      <c r="E85" t="s">
        <v>51</v>
      </c>
      <c r="F85" s="1" t="d">
        <v>2020-12-18</v>
      </c>
      <c r="G85" s="1" t="d">
        <v>2024-07-15</v>
      </c>
      <c r="I85" t="str">
        <f>VLOOKUP(D85,Table3[#All],2,FALSE)</f>
        <v>The Left</v>
      </c>
    </row>
    <row r="86" spans="1:9" x14ac:dyDescent="0.2">
      <c r="A86">
        <v>257026</v>
      </c>
      <c r="B86" t="s">
        <v>133</v>
      </c>
      <c r="C86" t="s">
        <v>44</v>
      </c>
      <c r="D86" t="s">
        <v>14</v>
      </c>
      <c r="E86" t="s">
        <v>11</v>
      </c>
      <c r="F86" s="1" t="d">
        <v>2024-07-16</v>
      </c>
      <c r="I86" t="str">
        <f>VLOOKUP(D86,Table3[#All],2,FALSE)</f>
        <v>EPP</v>
      </c>
    </row>
    <row r="87" spans="1:9" x14ac:dyDescent="0.2">
      <c r="A87">
        <v>2323</v>
      </c>
      <c r="B87" t="s">
        <v>134</v>
      </c>
      <c r="C87" t="s">
        <v>13</v>
      </c>
      <c r="D87" t="s">
        <v>29</v>
      </c>
      <c r="E87" t="s">
        <v>11</v>
      </c>
      <c r="F87" s="1" t="d">
        <v>2019-07-02</v>
      </c>
      <c r="G87" s="1" t="d">
        <v>2024-07-15</v>
      </c>
      <c r="I87" t="str">
        <f>VLOOKUP(D87,Table3[#All],2,FALSE)</f>
        <v>EPP</v>
      </c>
    </row>
    <row r="88" spans="1:9" x14ac:dyDescent="0.2">
      <c r="A88">
        <v>197402</v>
      </c>
      <c r="B88" t="s">
        <v>135</v>
      </c>
      <c r="C88" t="s">
        <v>71</v>
      </c>
      <c r="D88" t="s">
        <v>14</v>
      </c>
      <c r="E88" t="s">
        <v>51</v>
      </c>
      <c r="F88" s="1" t="d">
        <v>2024-07-16</v>
      </c>
      <c r="I88" t="str">
        <f>VLOOKUP(D88,Table3[#All],2,FALSE)</f>
        <v>EPP</v>
      </c>
    </row>
    <row r="89" spans="1:9" x14ac:dyDescent="0.2">
      <c r="A89">
        <v>2152</v>
      </c>
      <c r="B89" t="s">
        <v>136</v>
      </c>
      <c r="C89" t="s">
        <v>25</v>
      </c>
      <c r="D89" t="s">
        <v>20</v>
      </c>
      <c r="E89" t="s">
        <v>11</v>
      </c>
      <c r="F89" s="1" t="d">
        <v>2024-07-16</v>
      </c>
      <c r="I89" t="str">
        <f>VLOOKUP(D89,Table3[#All],2,FALSE)</f>
        <v>Greens/EFA</v>
      </c>
    </row>
    <row r="90" spans="1:9" x14ac:dyDescent="0.2">
      <c r="A90">
        <v>256876</v>
      </c>
      <c r="B90" t="s">
        <v>137</v>
      </c>
      <c r="C90" t="s">
        <v>58</v>
      </c>
      <c r="D90" t="s">
        <v>10</v>
      </c>
      <c r="E90" t="s">
        <v>11</v>
      </c>
      <c r="F90" s="1" t="d">
        <v>2024-07-16</v>
      </c>
      <c r="I90" t="str">
        <f>VLOOKUP(D90,Table3[#All],2,FALSE)</f>
        <v>PfE</v>
      </c>
    </row>
    <row r="91" spans="1:9" x14ac:dyDescent="0.2">
      <c r="A91">
        <v>256985</v>
      </c>
      <c r="B91" t="s">
        <v>138</v>
      </c>
      <c r="C91" t="s">
        <v>85</v>
      </c>
      <c r="D91" t="s">
        <v>14</v>
      </c>
      <c r="E91" t="s">
        <v>11</v>
      </c>
      <c r="F91" s="1" t="d">
        <v>2024-07-16</v>
      </c>
      <c r="I91" t="str">
        <f>VLOOKUP(D91,Table3[#All],2,FALSE)</f>
        <v>EPP</v>
      </c>
    </row>
    <row r="92" spans="1:9" x14ac:dyDescent="0.2">
      <c r="A92">
        <v>28400</v>
      </c>
      <c r="B92" t="s">
        <v>139</v>
      </c>
      <c r="C92" t="s">
        <v>22</v>
      </c>
      <c r="D92" t="s">
        <v>14</v>
      </c>
      <c r="E92" t="s">
        <v>11</v>
      </c>
      <c r="F92" s="1" t="d">
        <v>2024-07-16</v>
      </c>
      <c r="I92" t="str">
        <f>VLOOKUP(D92,Table3[#All],2,FALSE)</f>
        <v>EPP</v>
      </c>
    </row>
    <row r="93" spans="1:9" x14ac:dyDescent="0.2">
      <c r="A93">
        <v>197525</v>
      </c>
      <c r="B93" t="s">
        <v>140</v>
      </c>
      <c r="C93" t="s">
        <v>44</v>
      </c>
      <c r="D93" t="s">
        <v>14</v>
      </c>
      <c r="E93" t="s">
        <v>11</v>
      </c>
      <c r="F93" s="1" t="d">
        <v>2024-07-16</v>
      </c>
      <c r="I93" t="str">
        <f>VLOOKUP(D93,Table3[#All],2,FALSE)</f>
        <v>EPP</v>
      </c>
    </row>
    <row r="94" spans="1:9" x14ac:dyDescent="0.2">
      <c r="A94">
        <v>197497</v>
      </c>
      <c r="B94" t="s">
        <v>141</v>
      </c>
      <c r="C94" t="s">
        <v>63</v>
      </c>
      <c r="D94" t="s">
        <v>39</v>
      </c>
      <c r="E94" t="s">
        <v>11</v>
      </c>
      <c r="F94" s="1" t="d">
        <v>2024-07-16</v>
      </c>
      <c r="I94" t="str">
        <f>VLOOKUP(D94,Table3[#All],2,FALSE)</f>
        <v>S&amp;D</v>
      </c>
    </row>
    <row r="95" spans="1:9" x14ac:dyDescent="0.2">
      <c r="A95">
        <v>256995</v>
      </c>
      <c r="B95" t="s">
        <v>142</v>
      </c>
      <c r="C95" t="s">
        <v>79</v>
      </c>
      <c r="D95" t="s">
        <v>20</v>
      </c>
      <c r="E95" t="s">
        <v>11</v>
      </c>
      <c r="F95" s="1" t="d">
        <v>2024-07-16</v>
      </c>
      <c r="I95" t="str">
        <f>VLOOKUP(D95,Table3[#All],2,FALSE)</f>
        <v>Greens/EFA</v>
      </c>
    </row>
    <row r="96" spans="1:9" x14ac:dyDescent="0.2">
      <c r="A96">
        <v>88882</v>
      </c>
      <c r="B96" t="s">
        <v>143</v>
      </c>
      <c r="C96" t="s">
        <v>35</v>
      </c>
      <c r="D96" t="s">
        <v>39</v>
      </c>
      <c r="E96" t="s">
        <v>11</v>
      </c>
      <c r="F96" s="1" t="d">
        <v>2024-07-16</v>
      </c>
      <c r="I96" t="str">
        <f>VLOOKUP(D96,Table3[#All],2,FALSE)</f>
        <v>S&amp;D</v>
      </c>
    </row>
    <row r="97" spans="1:9" x14ac:dyDescent="0.2">
      <c r="A97">
        <v>257298</v>
      </c>
      <c r="B97" t="s">
        <v>144</v>
      </c>
      <c r="C97" t="s">
        <v>69</v>
      </c>
      <c r="D97" t="s">
        <v>46</v>
      </c>
      <c r="E97" t="s">
        <v>11</v>
      </c>
      <c r="F97" s="1" t="d">
        <v>2024-07-16</v>
      </c>
      <c r="I97" t="str">
        <f>VLOOKUP(D97,Table3[#All],2,FALSE)</f>
        <v>Renew Europe</v>
      </c>
    </row>
    <row r="98" spans="1:9" x14ac:dyDescent="0.2">
      <c r="A98">
        <v>132191</v>
      </c>
      <c r="B98" t="s">
        <v>145</v>
      </c>
      <c r="C98" t="s">
        <v>13</v>
      </c>
      <c r="D98" t="s">
        <v>146</v>
      </c>
      <c r="E98" t="s">
        <v>11</v>
      </c>
      <c r="F98" s="1" t="d">
        <v>2024-05-23</v>
      </c>
      <c r="G98" s="1" t="d">
        <v>2024-07-15</v>
      </c>
      <c r="I98" t="str">
        <f>VLOOKUP(D98,Table3[#All],2,FALSE)</f>
        <v>EPP</v>
      </c>
    </row>
    <row r="99" spans="1:9" x14ac:dyDescent="0.2">
      <c r="A99">
        <v>233862</v>
      </c>
      <c r="B99" t="s">
        <v>147</v>
      </c>
      <c r="C99" t="s">
        <v>148</v>
      </c>
      <c r="D99" t="s">
        <v>39</v>
      </c>
      <c r="E99" t="s">
        <v>11</v>
      </c>
      <c r="F99" s="1" t="d">
        <v>2024-07-16</v>
      </c>
      <c r="I99" t="str">
        <f>VLOOKUP(D99,Table3[#All],2,FALSE)</f>
        <v>S&amp;D</v>
      </c>
    </row>
    <row r="100" spans="1:9" x14ac:dyDescent="0.2">
      <c r="A100">
        <v>256926</v>
      </c>
      <c r="B100" t="s">
        <v>149</v>
      </c>
      <c r="C100" t="s">
        <v>13</v>
      </c>
      <c r="D100" t="s">
        <v>46</v>
      </c>
      <c r="E100" t="s">
        <v>18</v>
      </c>
      <c r="F100" s="1" t="d">
        <v>2024-07-16</v>
      </c>
      <c r="I100" t="str">
        <f>VLOOKUP(D100,Table3[#All],2,FALSE)</f>
        <v>Renew Europe</v>
      </c>
    </row>
    <row r="101" spans="1:9" x14ac:dyDescent="0.2">
      <c r="A101">
        <v>197572</v>
      </c>
      <c r="B101" t="s">
        <v>150</v>
      </c>
      <c r="C101" t="s">
        <v>44</v>
      </c>
      <c r="D101" t="s">
        <v>17</v>
      </c>
      <c r="E101" t="s">
        <v>11</v>
      </c>
      <c r="F101" s="1" t="d">
        <v>2024-07-16</v>
      </c>
      <c r="I101" t="str">
        <f>VLOOKUP(D101,Table3[#All],2,FALSE)</f>
        <v>ECR</v>
      </c>
    </row>
    <row r="102" spans="1:9" x14ac:dyDescent="0.2">
      <c r="A102">
        <v>197829</v>
      </c>
      <c r="B102" t="s">
        <v>151</v>
      </c>
      <c r="C102" t="s">
        <v>22</v>
      </c>
      <c r="D102" t="s">
        <v>10</v>
      </c>
      <c r="E102" t="s">
        <v>18</v>
      </c>
      <c r="F102" s="1" t="d">
        <v>2024-07-16</v>
      </c>
      <c r="I102" t="str">
        <f>VLOOKUP(D102,Table3[#All],2,FALSE)</f>
        <v>PfE</v>
      </c>
    </row>
    <row r="103" spans="1:9" x14ac:dyDescent="0.2">
      <c r="A103">
        <v>30482</v>
      </c>
      <c r="B103" t="s">
        <v>152</v>
      </c>
      <c r="C103" t="s">
        <v>58</v>
      </c>
      <c r="D103" t="s">
        <v>33</v>
      </c>
      <c r="E103" t="s">
        <v>11</v>
      </c>
      <c r="F103" s="1" t="d">
        <v>2024-07-16</v>
      </c>
      <c r="I103" t="str">
        <f>VLOOKUP(D103,Table3[#All],2,FALSE)</f>
        <v>The Left</v>
      </c>
    </row>
    <row r="104" spans="1:9" x14ac:dyDescent="0.2">
      <c r="A104">
        <v>257037</v>
      </c>
      <c r="B104" t="s">
        <v>153</v>
      </c>
      <c r="C104" t="s">
        <v>44</v>
      </c>
      <c r="D104" t="s">
        <v>46</v>
      </c>
      <c r="E104" t="s">
        <v>18</v>
      </c>
      <c r="F104" s="1" t="d">
        <v>2024-07-16</v>
      </c>
      <c r="I104" t="str">
        <f>VLOOKUP(D104,Table3[#All],2,FALSE)</f>
        <v>Renew Europe</v>
      </c>
    </row>
    <row r="105" spans="1:9" x14ac:dyDescent="0.2">
      <c r="A105">
        <v>257084</v>
      </c>
      <c r="B105" t="s">
        <v>154</v>
      </c>
      <c r="C105" t="s">
        <v>44</v>
      </c>
      <c r="D105" t="s">
        <v>39</v>
      </c>
      <c r="E105" t="s">
        <v>11</v>
      </c>
      <c r="F105" s="1" t="d">
        <v>2024-07-16</v>
      </c>
      <c r="I105" t="str">
        <f>VLOOKUP(D105,Table3[#All],2,FALSE)</f>
        <v>S&amp;D</v>
      </c>
    </row>
    <row r="106" spans="1:9" x14ac:dyDescent="0.2">
      <c r="A106">
        <v>257039</v>
      </c>
      <c r="B106" t="s">
        <v>155</v>
      </c>
      <c r="C106" t="s">
        <v>22</v>
      </c>
      <c r="D106" t="s">
        <v>14</v>
      </c>
      <c r="E106" t="s">
        <v>11</v>
      </c>
      <c r="F106" s="1" t="d">
        <v>2024-07-16</v>
      </c>
      <c r="I106" t="str">
        <f>VLOOKUP(D106,Table3[#All],2,FALSE)</f>
        <v>EPP</v>
      </c>
    </row>
    <row r="107" spans="1:9" x14ac:dyDescent="0.2">
      <c r="A107">
        <v>99878</v>
      </c>
      <c r="B107" t="s">
        <v>156</v>
      </c>
      <c r="C107" t="s">
        <v>44</v>
      </c>
      <c r="D107" t="s">
        <v>17</v>
      </c>
      <c r="E107" t="s">
        <v>11</v>
      </c>
      <c r="F107" s="1" t="d">
        <v>2024-07-16</v>
      </c>
      <c r="I107" t="str">
        <f>VLOOKUP(D107,Table3[#All],2,FALSE)</f>
        <v>ECR</v>
      </c>
    </row>
    <row r="108" spans="1:9" x14ac:dyDescent="0.2">
      <c r="A108">
        <v>2054</v>
      </c>
      <c r="B108" t="s">
        <v>157</v>
      </c>
      <c r="C108" t="s">
        <v>96</v>
      </c>
      <c r="D108" t="s">
        <v>158</v>
      </c>
      <c r="E108" t="s">
        <v>11</v>
      </c>
      <c r="F108" s="1" t="d">
        <v>2019-07-02</v>
      </c>
      <c r="G108" s="1" t="d">
        <v>2024-07-15</v>
      </c>
      <c r="I108" t="str">
        <f>VLOOKUP(D108,Table3[#All],2,FALSE)</f>
        <v>Greens/EFA</v>
      </c>
    </row>
    <row r="109" spans="1:9" x14ac:dyDescent="0.2">
      <c r="A109">
        <v>197533</v>
      </c>
      <c r="B109" t="s">
        <v>159</v>
      </c>
      <c r="C109" t="s">
        <v>58</v>
      </c>
      <c r="D109" t="s">
        <v>33</v>
      </c>
      <c r="E109" t="s">
        <v>160</v>
      </c>
      <c r="F109" s="1" t="d">
        <v>2024-07-16</v>
      </c>
      <c r="I109" t="str">
        <f>VLOOKUP(D109,Table3[#All],2,FALSE)</f>
        <v>The Left</v>
      </c>
    </row>
    <row r="110" spans="1:9" x14ac:dyDescent="0.2">
      <c r="A110">
        <v>197822</v>
      </c>
      <c r="B110" t="s">
        <v>161</v>
      </c>
      <c r="C110" t="s">
        <v>25</v>
      </c>
      <c r="D110" t="s">
        <v>146</v>
      </c>
      <c r="E110" t="s">
        <v>11</v>
      </c>
      <c r="F110" s="1" t="d">
        <v>2021-10-06</v>
      </c>
      <c r="G110" s="1" t="d">
        <v>2024-07-15</v>
      </c>
      <c r="I110" t="str">
        <f>VLOOKUP(D110,Table3[#All],2,FALSE)</f>
        <v>EPP</v>
      </c>
    </row>
    <row r="111" spans="1:9" x14ac:dyDescent="0.2">
      <c r="A111">
        <v>197526</v>
      </c>
      <c r="B111" t="s">
        <v>162</v>
      </c>
      <c r="C111" t="s">
        <v>41</v>
      </c>
      <c r="D111" t="s">
        <v>10</v>
      </c>
      <c r="E111" t="s">
        <v>11</v>
      </c>
      <c r="F111" s="1" t="d">
        <v>2024-07-16</v>
      </c>
      <c r="G111" s="1" t="d">
        <v>2024-07-31</v>
      </c>
      <c r="I111" t="str">
        <f>VLOOKUP(D111,Table3[#All],2,FALSE)</f>
        <v>PfE</v>
      </c>
    </row>
    <row r="112" spans="1:9" x14ac:dyDescent="0.2">
      <c r="A112">
        <v>257002</v>
      </c>
      <c r="B112" t="s">
        <v>163</v>
      </c>
      <c r="C112" t="s">
        <v>22</v>
      </c>
      <c r="D112" t="s">
        <v>39</v>
      </c>
      <c r="E112" t="s">
        <v>11</v>
      </c>
      <c r="F112" s="1" t="d">
        <v>2024-07-16</v>
      </c>
      <c r="I112" t="str">
        <f>VLOOKUP(D112,Table3[#All],2,FALSE)</f>
        <v>S&amp;D</v>
      </c>
    </row>
    <row r="113" spans="1:9" x14ac:dyDescent="0.2">
      <c r="A113">
        <v>125325</v>
      </c>
      <c r="B113" t="s">
        <v>164</v>
      </c>
      <c r="C113" t="s">
        <v>9</v>
      </c>
      <c r="D113" t="s">
        <v>17</v>
      </c>
      <c r="E113" t="s">
        <v>18</v>
      </c>
      <c r="F113" s="1" t="d">
        <v>2026-03-18</v>
      </c>
      <c r="I113" t="str">
        <f>VLOOKUP(D113,Table3[#All],2,FALSE)</f>
        <v>ECR</v>
      </c>
    </row>
    <row r="114" spans="1:9" x14ac:dyDescent="0.2">
      <c r="A114">
        <v>257092</v>
      </c>
      <c r="B114" t="s">
        <v>165</v>
      </c>
      <c r="C114" t="s">
        <v>71</v>
      </c>
      <c r="D114" t="s">
        <v>33</v>
      </c>
      <c r="E114" t="s">
        <v>51</v>
      </c>
      <c r="F114" s="1" t="d">
        <v>2024-07-16</v>
      </c>
      <c r="I114" t="str">
        <f>VLOOKUP(D114,Table3[#All],2,FALSE)</f>
        <v>The Left</v>
      </c>
    </row>
    <row r="115" spans="1:9" x14ac:dyDescent="0.2">
      <c r="A115">
        <v>257115</v>
      </c>
      <c r="B115" t="s">
        <v>166</v>
      </c>
      <c r="C115" t="s">
        <v>35</v>
      </c>
      <c r="D115" t="s">
        <v>17</v>
      </c>
      <c r="E115" t="s">
        <v>51</v>
      </c>
      <c r="F115" s="1" t="d">
        <v>2024-09-17</v>
      </c>
      <c r="I115" t="str">
        <f>VLOOKUP(D115,Table3[#All],2,FALSE)</f>
        <v>ECR</v>
      </c>
    </row>
    <row r="116" spans="1:9" x14ac:dyDescent="0.2">
      <c r="A116">
        <v>37312</v>
      </c>
      <c r="B116" t="s">
        <v>167</v>
      </c>
      <c r="C116" t="s">
        <v>131</v>
      </c>
      <c r="D116" t="s">
        <v>39</v>
      </c>
      <c r="E116" t="s">
        <v>11</v>
      </c>
      <c r="F116" s="1" t="d">
        <v>2024-07-16</v>
      </c>
      <c r="I116" t="str">
        <f>VLOOKUP(D116,Table3[#All],2,FALSE)</f>
        <v>S&amp;D</v>
      </c>
    </row>
    <row r="117" spans="1:9" x14ac:dyDescent="0.2">
      <c r="A117">
        <v>125042</v>
      </c>
      <c r="B117" t="s">
        <v>168</v>
      </c>
      <c r="C117" t="s">
        <v>22</v>
      </c>
      <c r="D117" t="s">
        <v>39</v>
      </c>
      <c r="E117" t="s">
        <v>11</v>
      </c>
      <c r="F117" s="1" t="d">
        <v>2024-07-16</v>
      </c>
      <c r="I117" t="str">
        <f>VLOOKUP(D117,Table3[#All],2,FALSE)</f>
        <v>S&amp;D</v>
      </c>
    </row>
    <row r="118" spans="1:9" x14ac:dyDescent="0.2">
      <c r="A118">
        <v>257113</v>
      </c>
      <c r="B118" t="s">
        <v>169</v>
      </c>
      <c r="C118" t="s">
        <v>25</v>
      </c>
      <c r="D118" t="s">
        <v>17</v>
      </c>
      <c r="E118" t="s">
        <v>18</v>
      </c>
      <c r="F118" s="1" t="d">
        <v>2024-07-17</v>
      </c>
      <c r="I118" t="str">
        <f>VLOOKUP(D118,Table3[#All],2,FALSE)</f>
        <v>ECR</v>
      </c>
    </row>
    <row r="119" spans="1:9" x14ac:dyDescent="0.2">
      <c r="A119">
        <v>256986</v>
      </c>
      <c r="B119" t="s">
        <v>170</v>
      </c>
      <c r="C119" t="s">
        <v>85</v>
      </c>
      <c r="D119" t="s">
        <v>17</v>
      </c>
      <c r="E119" t="s">
        <v>18</v>
      </c>
      <c r="F119" s="1" t="d">
        <v>2024-07-16</v>
      </c>
      <c r="I119" t="str">
        <f>VLOOKUP(D119,Table3[#All],2,FALSE)</f>
        <v>ECR</v>
      </c>
    </row>
    <row r="120" spans="1:9" x14ac:dyDescent="0.2">
      <c r="A120">
        <v>187917</v>
      </c>
      <c r="B120" t="s">
        <v>171</v>
      </c>
      <c r="C120" t="s">
        <v>114</v>
      </c>
      <c r="D120" t="s">
        <v>33</v>
      </c>
      <c r="E120" t="s">
        <v>51</v>
      </c>
      <c r="F120" s="1" t="d">
        <v>2024-07-16</v>
      </c>
      <c r="I120" t="str">
        <f>VLOOKUP(D120,Table3[#All],2,FALSE)</f>
        <v>The Left</v>
      </c>
    </row>
    <row r="121" spans="1:9" x14ac:dyDescent="0.2">
      <c r="A121">
        <v>257023</v>
      </c>
      <c r="B121" t="s">
        <v>172</v>
      </c>
      <c r="C121" t="s">
        <v>131</v>
      </c>
      <c r="D121" t="s">
        <v>33</v>
      </c>
      <c r="E121" t="s">
        <v>18</v>
      </c>
      <c r="F121" s="1" t="d">
        <v>2024-07-18</v>
      </c>
      <c r="I121" t="str">
        <f>VLOOKUP(D121,Table3[#All],2,FALSE)</f>
        <v>The Left</v>
      </c>
    </row>
    <row r="122" spans="1:9" x14ac:dyDescent="0.2">
      <c r="A122">
        <v>91636</v>
      </c>
      <c r="B122" t="s">
        <v>173</v>
      </c>
      <c r="C122" t="s">
        <v>9</v>
      </c>
      <c r="D122" t="s">
        <v>39</v>
      </c>
      <c r="E122" t="s">
        <v>11</v>
      </c>
      <c r="F122" s="1" t="d">
        <v>2024-07-16</v>
      </c>
      <c r="I122" t="str">
        <f>VLOOKUP(D122,Table3[#All],2,FALSE)</f>
        <v>S&amp;D</v>
      </c>
    </row>
    <row r="123" spans="1:9" x14ac:dyDescent="0.2">
      <c r="A123">
        <v>257080</v>
      </c>
      <c r="B123" t="s">
        <v>174</v>
      </c>
      <c r="C123" t="s">
        <v>44</v>
      </c>
      <c r="D123" t="s">
        <v>17</v>
      </c>
      <c r="E123" t="s">
        <v>11</v>
      </c>
      <c r="F123" s="1" t="d">
        <v>2024-07-16</v>
      </c>
      <c r="I123" t="str">
        <f>VLOOKUP(D123,Table3[#All],2,FALSE)</f>
        <v>ECR</v>
      </c>
    </row>
    <row r="124" spans="1:9" x14ac:dyDescent="0.2">
      <c r="A124">
        <v>197842</v>
      </c>
      <c r="B124" t="s">
        <v>175</v>
      </c>
      <c r="C124" t="s">
        <v>16</v>
      </c>
      <c r="D124" t="s">
        <v>49</v>
      </c>
      <c r="E124" t="s">
        <v>11</v>
      </c>
      <c r="F124" s="1" t="d">
        <v>2024-12-23</v>
      </c>
      <c r="I124" t="str">
        <f>VLOOKUP(D124,Table3[#All],2,FALSE)</f>
        <v>Non-attached</v>
      </c>
    </row>
    <row r="125" spans="1:9" x14ac:dyDescent="0.2">
      <c r="A125">
        <v>210480</v>
      </c>
      <c r="B125" t="s">
        <v>176</v>
      </c>
      <c r="C125" t="s">
        <v>53</v>
      </c>
      <c r="D125" t="s">
        <v>39</v>
      </c>
      <c r="E125" t="s">
        <v>11</v>
      </c>
      <c r="F125" s="1" t="d">
        <v>2024-07-16</v>
      </c>
      <c r="I125" t="str">
        <f>VLOOKUP(D125,Table3[#All],2,FALSE)</f>
        <v>S&amp;D</v>
      </c>
    </row>
    <row r="126" spans="1:9" x14ac:dyDescent="0.2">
      <c r="A126">
        <v>197773</v>
      </c>
      <c r="B126" t="s">
        <v>177</v>
      </c>
      <c r="C126" t="s">
        <v>9</v>
      </c>
      <c r="D126" t="s">
        <v>17</v>
      </c>
      <c r="E126" t="s">
        <v>18</v>
      </c>
      <c r="F126" s="1" t="d">
        <v>2024-07-16</v>
      </c>
      <c r="I126" t="str">
        <f>VLOOKUP(D126,Table3[#All],2,FALSE)</f>
        <v>ECR</v>
      </c>
    </row>
    <row r="127" spans="1:9" x14ac:dyDescent="0.2">
      <c r="A127">
        <v>256968</v>
      </c>
      <c r="B127" t="s">
        <v>178</v>
      </c>
      <c r="C127" t="s">
        <v>9</v>
      </c>
      <c r="D127" t="s">
        <v>14</v>
      </c>
      <c r="E127" t="s">
        <v>11</v>
      </c>
      <c r="F127" s="1" t="d">
        <v>2024-07-16</v>
      </c>
      <c r="I127" t="str">
        <f>VLOOKUP(D127,Table3[#All],2,FALSE)</f>
        <v>EPP</v>
      </c>
    </row>
    <row r="128" spans="1:9" x14ac:dyDescent="0.2">
      <c r="A128">
        <v>197635</v>
      </c>
      <c r="B128" t="s">
        <v>179</v>
      </c>
      <c r="C128" t="s">
        <v>53</v>
      </c>
      <c r="D128" t="s">
        <v>180</v>
      </c>
      <c r="E128" t="s">
        <v>11</v>
      </c>
      <c r="F128" s="1" t="d">
        <v>2019-07-02</v>
      </c>
      <c r="G128" s="1" t="d">
        <v>2024-07-15</v>
      </c>
      <c r="I128" t="str">
        <f>VLOOKUP(D128,Table3[#All],2,FALSE)</f>
        <v>S&amp;D</v>
      </c>
    </row>
    <row r="129" spans="1:9" x14ac:dyDescent="0.2">
      <c r="A129">
        <v>197432</v>
      </c>
      <c r="B129" t="s">
        <v>181</v>
      </c>
      <c r="C129" t="s">
        <v>13</v>
      </c>
      <c r="D129" t="s">
        <v>46</v>
      </c>
      <c r="E129" t="s">
        <v>11</v>
      </c>
      <c r="F129" s="1" t="d">
        <v>2024-07-16</v>
      </c>
      <c r="I129" t="str">
        <f>VLOOKUP(D129,Table3[#All],2,FALSE)</f>
        <v>Renew Europe</v>
      </c>
    </row>
    <row r="130" spans="1:9" x14ac:dyDescent="0.2">
      <c r="A130">
        <v>197557</v>
      </c>
      <c r="B130" t="s">
        <v>182</v>
      </c>
      <c r="C130" t="s">
        <v>58</v>
      </c>
      <c r="D130" t="s">
        <v>46</v>
      </c>
      <c r="E130" t="s">
        <v>11</v>
      </c>
      <c r="F130" s="1" t="d">
        <v>2024-07-16</v>
      </c>
      <c r="I130" t="str">
        <f>VLOOKUP(D130,Table3[#All],2,FALSE)</f>
        <v>Renew Europe</v>
      </c>
    </row>
    <row r="131" spans="1:9" x14ac:dyDescent="0.2">
      <c r="A131">
        <v>198076</v>
      </c>
      <c r="B131" t="s">
        <v>183</v>
      </c>
      <c r="C131" t="s">
        <v>96</v>
      </c>
      <c r="D131" t="s">
        <v>20</v>
      </c>
      <c r="E131" t="s">
        <v>11</v>
      </c>
      <c r="F131" s="1" t="d">
        <v>2024-07-16</v>
      </c>
      <c r="I131" t="str">
        <f>VLOOKUP(D131,Table3[#All],2,FALSE)</f>
        <v>Greens/EFA</v>
      </c>
    </row>
    <row r="132" spans="1:9" x14ac:dyDescent="0.2">
      <c r="A132">
        <v>220896</v>
      </c>
      <c r="B132" t="s">
        <v>184</v>
      </c>
      <c r="C132" t="s">
        <v>27</v>
      </c>
      <c r="D132" t="s">
        <v>14</v>
      </c>
      <c r="E132" t="s">
        <v>11</v>
      </c>
      <c r="F132" s="1" t="d">
        <v>2024-07-16</v>
      </c>
      <c r="I132" t="str">
        <f>VLOOKUP(D132,Table3[#All],2,FALSE)</f>
        <v>EPP</v>
      </c>
    </row>
    <row r="133" spans="1:9" x14ac:dyDescent="0.2">
      <c r="A133">
        <v>24942</v>
      </c>
      <c r="B133" t="s">
        <v>185</v>
      </c>
      <c r="C133" t="s">
        <v>22</v>
      </c>
      <c r="D133" t="s">
        <v>20</v>
      </c>
      <c r="E133" t="s">
        <v>11</v>
      </c>
      <c r="F133" s="1" t="d">
        <v>2024-07-16</v>
      </c>
      <c r="I133" t="str">
        <f>VLOOKUP(D133,Table3[#All],2,FALSE)</f>
        <v>Greens/EFA</v>
      </c>
    </row>
    <row r="134" spans="1:9" x14ac:dyDescent="0.2">
      <c r="A134">
        <v>256850</v>
      </c>
      <c r="B134" t="s">
        <v>186</v>
      </c>
      <c r="C134" t="s">
        <v>41</v>
      </c>
      <c r="D134" t="s">
        <v>10</v>
      </c>
      <c r="E134" t="s">
        <v>18</v>
      </c>
      <c r="F134" s="1" t="d">
        <v>2024-07-16</v>
      </c>
      <c r="G134" s="1" t="d">
        <v>2025-10-03</v>
      </c>
      <c r="I134" t="str">
        <f>VLOOKUP(D134,Table3[#All],2,FALSE)</f>
        <v>PfE</v>
      </c>
    </row>
    <row r="135" spans="1:9" x14ac:dyDescent="0.2">
      <c r="A135">
        <v>88552</v>
      </c>
      <c r="B135" t="s">
        <v>187</v>
      </c>
      <c r="C135" t="s">
        <v>58</v>
      </c>
      <c r="D135" t="s">
        <v>10</v>
      </c>
      <c r="E135" t="s">
        <v>11</v>
      </c>
      <c r="F135" s="1" t="d">
        <v>2024-07-16</v>
      </c>
      <c r="I135" t="str">
        <f>VLOOKUP(D135,Table3[#All],2,FALSE)</f>
        <v>PfE</v>
      </c>
    </row>
    <row r="136" spans="1:9" x14ac:dyDescent="0.2">
      <c r="A136">
        <v>197935</v>
      </c>
      <c r="B136" t="s">
        <v>188</v>
      </c>
      <c r="C136" t="s">
        <v>79</v>
      </c>
      <c r="D136" t="s">
        <v>146</v>
      </c>
      <c r="E136" t="s">
        <v>11</v>
      </c>
      <c r="F136" s="1" t="d">
        <v>2019-07-02</v>
      </c>
      <c r="G136" s="1" t="d">
        <v>2024-07-15</v>
      </c>
      <c r="I136" t="str">
        <f>VLOOKUP(D136,Table3[#All],2,FALSE)</f>
        <v>EPP</v>
      </c>
    </row>
    <row r="137" spans="1:9" x14ac:dyDescent="0.2">
      <c r="A137">
        <v>197702</v>
      </c>
      <c r="B137" t="s">
        <v>189</v>
      </c>
      <c r="C137" t="s">
        <v>22</v>
      </c>
      <c r="D137" t="s">
        <v>39</v>
      </c>
      <c r="E137" t="s">
        <v>11</v>
      </c>
      <c r="F137" s="1" t="d">
        <v>2024-07-16</v>
      </c>
      <c r="I137" t="str">
        <f>VLOOKUP(D137,Table3[#All],2,FALSE)</f>
        <v>S&amp;D</v>
      </c>
    </row>
    <row r="138" spans="1:9" x14ac:dyDescent="0.2">
      <c r="A138">
        <v>197770</v>
      </c>
      <c r="B138" t="s">
        <v>190</v>
      </c>
      <c r="C138" t="s">
        <v>191</v>
      </c>
      <c r="D138" t="s">
        <v>46</v>
      </c>
      <c r="E138" t="s">
        <v>18</v>
      </c>
      <c r="F138" s="1" t="d">
        <v>2024-07-16</v>
      </c>
      <c r="I138" t="str">
        <f>VLOOKUP(D138,Table3[#All],2,FALSE)</f>
        <v>Renew Europe</v>
      </c>
    </row>
    <row r="139" spans="1:9" x14ac:dyDescent="0.2">
      <c r="A139">
        <v>96812</v>
      </c>
      <c r="B139" t="s">
        <v>192</v>
      </c>
      <c r="C139" t="s">
        <v>22</v>
      </c>
      <c r="D139" t="s">
        <v>39</v>
      </c>
      <c r="E139" t="s">
        <v>11</v>
      </c>
      <c r="F139" s="1" t="d">
        <v>2024-07-16</v>
      </c>
      <c r="I139" t="str">
        <f>VLOOKUP(D139,Table3[#All],2,FALSE)</f>
        <v>S&amp;D</v>
      </c>
    </row>
    <row r="140" spans="1:9" x14ac:dyDescent="0.2">
      <c r="A140">
        <v>256969</v>
      </c>
      <c r="B140" t="s">
        <v>193</v>
      </c>
      <c r="C140" t="s">
        <v>13</v>
      </c>
      <c r="D140" t="s">
        <v>49</v>
      </c>
      <c r="E140" t="s">
        <v>11</v>
      </c>
      <c r="F140" s="1" t="d">
        <v>2024-07-16</v>
      </c>
      <c r="I140" t="str">
        <f>VLOOKUP(D140,Table3[#All],2,FALSE)</f>
        <v>Non-attached</v>
      </c>
    </row>
    <row r="141" spans="1:9" x14ac:dyDescent="0.2">
      <c r="A141">
        <v>220871</v>
      </c>
      <c r="B141" t="s">
        <v>194</v>
      </c>
      <c r="C141" t="s">
        <v>61</v>
      </c>
      <c r="D141" t="s">
        <v>17</v>
      </c>
      <c r="E141" t="s">
        <v>11</v>
      </c>
      <c r="F141" s="1" t="d">
        <v>2024-07-16</v>
      </c>
      <c r="I141" t="str">
        <f>VLOOKUP(D141,Table3[#All],2,FALSE)</f>
        <v>ECR</v>
      </c>
    </row>
    <row r="142" spans="1:9" x14ac:dyDescent="0.2">
      <c r="A142">
        <v>257034</v>
      </c>
      <c r="B142" t="s">
        <v>195</v>
      </c>
      <c r="C142" t="s">
        <v>22</v>
      </c>
      <c r="D142" t="s">
        <v>14</v>
      </c>
      <c r="E142" t="s">
        <v>11</v>
      </c>
      <c r="F142" s="1" t="d">
        <v>2024-07-16</v>
      </c>
      <c r="I142" t="str">
        <f>VLOOKUP(D142,Table3[#All],2,FALSE)</f>
        <v>EPP</v>
      </c>
    </row>
    <row r="143" spans="1:9" x14ac:dyDescent="0.2">
      <c r="A143">
        <v>256967</v>
      </c>
      <c r="B143" t="s">
        <v>196</v>
      </c>
      <c r="C143" t="s">
        <v>13</v>
      </c>
      <c r="D143" t="s">
        <v>49</v>
      </c>
      <c r="E143" t="s">
        <v>11</v>
      </c>
      <c r="F143" s="1" t="d">
        <v>2024-07-16</v>
      </c>
      <c r="I143" t="str">
        <f>VLOOKUP(D143,Table3[#All],2,FALSE)</f>
        <v>Non-attached</v>
      </c>
    </row>
    <row r="144" spans="1:9" x14ac:dyDescent="0.2">
      <c r="A144">
        <v>86057</v>
      </c>
      <c r="B144" t="s">
        <v>197</v>
      </c>
      <c r="C144" t="s">
        <v>44</v>
      </c>
      <c r="D144" t="s">
        <v>14</v>
      </c>
      <c r="E144" t="s">
        <v>11</v>
      </c>
      <c r="F144" s="1" t="d">
        <v>2024-07-16</v>
      </c>
      <c r="I144" t="str">
        <f>VLOOKUP(D144,Table3[#All],2,FALSE)</f>
        <v>EPP</v>
      </c>
    </row>
    <row r="145" spans="1:9" x14ac:dyDescent="0.2">
      <c r="A145">
        <v>256853</v>
      </c>
      <c r="B145" t="s">
        <v>198</v>
      </c>
      <c r="C145" t="s">
        <v>41</v>
      </c>
      <c r="D145" t="s">
        <v>10</v>
      </c>
      <c r="E145" t="s">
        <v>51</v>
      </c>
      <c r="F145" s="1" t="d">
        <v>2024-07-16</v>
      </c>
      <c r="I145" t="str">
        <f>VLOOKUP(D145,Table3[#All],2,FALSE)</f>
        <v>PfE</v>
      </c>
    </row>
    <row r="146" spans="1:9" x14ac:dyDescent="0.2">
      <c r="A146">
        <v>197534</v>
      </c>
      <c r="B146" t="s">
        <v>199</v>
      </c>
      <c r="C146" t="s">
        <v>58</v>
      </c>
      <c r="D146" t="s">
        <v>14</v>
      </c>
      <c r="E146" t="s">
        <v>51</v>
      </c>
      <c r="F146" s="1" t="d">
        <v>2024-07-16</v>
      </c>
      <c r="I146" t="str">
        <f>VLOOKUP(D146,Table3[#All],2,FALSE)</f>
        <v>EPP</v>
      </c>
    </row>
    <row r="147" spans="1:9" x14ac:dyDescent="0.2">
      <c r="A147">
        <v>197771</v>
      </c>
      <c r="B147" t="s">
        <v>200</v>
      </c>
      <c r="C147" t="s">
        <v>191</v>
      </c>
      <c r="D147" t="s">
        <v>29</v>
      </c>
      <c r="E147" t="s">
        <v>11</v>
      </c>
      <c r="F147" s="1" t="d">
        <v>2019-07-02</v>
      </c>
      <c r="G147" s="1" t="d">
        <v>2024-07-15</v>
      </c>
      <c r="I147" t="str">
        <f>VLOOKUP(D147,Table3[#All],2,FALSE)</f>
        <v>EPP</v>
      </c>
    </row>
    <row r="148" spans="1:9" x14ac:dyDescent="0.2">
      <c r="A148">
        <v>124713</v>
      </c>
      <c r="B148" t="s">
        <v>201</v>
      </c>
      <c r="C148" t="s">
        <v>41</v>
      </c>
      <c r="D148" t="s">
        <v>14</v>
      </c>
      <c r="E148" t="s">
        <v>11</v>
      </c>
      <c r="F148" s="1" t="d">
        <v>2024-07-16</v>
      </c>
      <c r="I148" t="str">
        <f>VLOOKUP(D148,Table3[#All],2,FALSE)</f>
        <v>EPP</v>
      </c>
    </row>
    <row r="149" spans="1:9" x14ac:dyDescent="0.2">
      <c r="A149">
        <v>197818</v>
      </c>
      <c r="B149" t="s">
        <v>202</v>
      </c>
      <c r="C149" t="s">
        <v>69</v>
      </c>
      <c r="D149" t="s">
        <v>46</v>
      </c>
      <c r="E149" t="s">
        <v>18</v>
      </c>
      <c r="F149" s="1" t="d">
        <v>2024-07-16</v>
      </c>
      <c r="I149" t="str">
        <f>VLOOKUP(D149,Table3[#All],2,FALSE)</f>
        <v>Renew Europe</v>
      </c>
    </row>
    <row r="150" spans="1:9" x14ac:dyDescent="0.2">
      <c r="A150">
        <v>218347</v>
      </c>
      <c r="B150" t="s">
        <v>203</v>
      </c>
      <c r="C150" t="s">
        <v>9</v>
      </c>
      <c r="D150" t="s">
        <v>39</v>
      </c>
      <c r="E150" t="s">
        <v>11</v>
      </c>
      <c r="F150" s="1" t="d">
        <v>2024-07-16</v>
      </c>
      <c r="I150" t="str">
        <f>VLOOKUP(D150,Table3[#All],2,FALSE)</f>
        <v>S&amp;D</v>
      </c>
    </row>
    <row r="151" spans="1:9" x14ac:dyDescent="0.2">
      <c r="A151">
        <v>261796</v>
      </c>
      <c r="B151" t="s">
        <v>204</v>
      </c>
      <c r="C151" t="s">
        <v>58</v>
      </c>
      <c r="D151" t="s">
        <v>10</v>
      </c>
      <c r="E151" t="s">
        <v>11</v>
      </c>
      <c r="F151" s="1" t="d">
        <v>2024-09-27</v>
      </c>
      <c r="I151" t="str">
        <f>VLOOKUP(D151,Table3[#All],2,FALSE)</f>
        <v>PfE</v>
      </c>
    </row>
    <row r="152" spans="1:9" x14ac:dyDescent="0.2">
      <c r="A152">
        <v>197462</v>
      </c>
      <c r="B152" t="s">
        <v>205</v>
      </c>
      <c r="C152" t="s">
        <v>13</v>
      </c>
      <c r="D152" t="s">
        <v>20</v>
      </c>
      <c r="E152" t="s">
        <v>11</v>
      </c>
      <c r="F152" s="1" t="d">
        <v>2024-07-16</v>
      </c>
      <c r="I152" t="str">
        <f>VLOOKUP(D152,Table3[#All],2,FALSE)</f>
        <v>Greens/EFA</v>
      </c>
    </row>
    <row r="153" spans="1:9" x14ac:dyDescent="0.2">
      <c r="A153">
        <v>124821</v>
      </c>
      <c r="B153" t="s">
        <v>206</v>
      </c>
      <c r="C153" t="s">
        <v>25</v>
      </c>
      <c r="D153" t="s">
        <v>207</v>
      </c>
      <c r="E153" t="s">
        <v>51</v>
      </c>
      <c r="F153" s="1" t="d">
        <v>2021-10-19</v>
      </c>
      <c r="G153" s="1" t="d">
        <v>2024-07-15</v>
      </c>
      <c r="I153" t="str">
        <f>VLOOKUP(D153,Table3[#All],2,FALSE)</f>
        <v>Renew Europe</v>
      </c>
    </row>
    <row r="154" spans="1:9" x14ac:dyDescent="0.2">
      <c r="A154">
        <v>197469</v>
      </c>
      <c r="B154" t="s">
        <v>208</v>
      </c>
      <c r="C154" t="s">
        <v>114</v>
      </c>
      <c r="D154" t="s">
        <v>17</v>
      </c>
      <c r="E154" t="s">
        <v>51</v>
      </c>
      <c r="F154" s="1" t="d">
        <v>2024-07-16</v>
      </c>
      <c r="I154" t="str">
        <f>VLOOKUP(D154,Table3[#All],2,FALSE)</f>
        <v>ECR</v>
      </c>
    </row>
    <row r="155" spans="1:9" x14ac:dyDescent="0.2">
      <c r="A155">
        <v>197711</v>
      </c>
      <c r="B155" t="s">
        <v>209</v>
      </c>
      <c r="C155" t="s">
        <v>22</v>
      </c>
      <c r="D155" t="s">
        <v>14</v>
      </c>
      <c r="E155" t="s">
        <v>51</v>
      </c>
      <c r="F155" s="1" t="d">
        <v>2024-07-16</v>
      </c>
      <c r="I155" t="str">
        <f>VLOOKUP(D155,Table3[#All],2,FALSE)</f>
        <v>EPP</v>
      </c>
    </row>
    <row r="156" spans="1:9" x14ac:dyDescent="0.2">
      <c r="A156">
        <v>124726</v>
      </c>
      <c r="B156" t="s">
        <v>210</v>
      </c>
      <c r="C156" t="s">
        <v>96</v>
      </c>
      <c r="D156" t="s">
        <v>14</v>
      </c>
      <c r="E156" t="s">
        <v>11</v>
      </c>
      <c r="F156" s="1" t="d">
        <v>2024-07-16</v>
      </c>
      <c r="G156" s="1" t="d">
        <v>2024-11-30</v>
      </c>
      <c r="I156" t="str">
        <f>VLOOKUP(D156,Table3[#All],2,FALSE)</f>
        <v>EPP</v>
      </c>
    </row>
    <row r="157" spans="1:9" x14ac:dyDescent="0.2">
      <c r="A157">
        <v>197817</v>
      </c>
      <c r="B157" t="s">
        <v>211</v>
      </c>
      <c r="C157" t="s">
        <v>69</v>
      </c>
      <c r="D157" t="s">
        <v>23</v>
      </c>
      <c r="E157" t="s">
        <v>11</v>
      </c>
      <c r="F157" s="1" t="d">
        <v>2020-12-18</v>
      </c>
      <c r="G157" s="1" t="d">
        <v>2024-07-15</v>
      </c>
      <c r="I157" t="str">
        <f>VLOOKUP(D157,Table3[#All],2,FALSE)</f>
        <v>The Left</v>
      </c>
    </row>
    <row r="158" spans="1:9" x14ac:dyDescent="0.2">
      <c r="A158">
        <v>197832</v>
      </c>
      <c r="B158" t="s">
        <v>212</v>
      </c>
      <c r="C158" t="s">
        <v>22</v>
      </c>
      <c r="D158" t="s">
        <v>20</v>
      </c>
      <c r="F158" s="1" t="d">
        <v>2024-07-16</v>
      </c>
      <c r="I158" t="str">
        <f>VLOOKUP(D158,Table3[#All],2,FALSE)</f>
        <v>Greens/EFA</v>
      </c>
    </row>
    <row r="159" spans="1:9" x14ac:dyDescent="0.2">
      <c r="A159">
        <v>204129</v>
      </c>
      <c r="B159" t="s">
        <v>213</v>
      </c>
      <c r="C159" t="s">
        <v>79</v>
      </c>
      <c r="D159" t="s">
        <v>14</v>
      </c>
      <c r="E159" t="s">
        <v>11</v>
      </c>
      <c r="F159" s="1" t="d">
        <v>2024-07-16</v>
      </c>
      <c r="I159" t="str">
        <f>VLOOKUP(D159,Table3[#All],2,FALSE)</f>
        <v>EPP</v>
      </c>
    </row>
    <row r="160" spans="1:9" x14ac:dyDescent="0.2">
      <c r="A160">
        <v>197581</v>
      </c>
      <c r="B160" t="s">
        <v>214</v>
      </c>
      <c r="C160" t="s">
        <v>58</v>
      </c>
      <c r="D160" t="s">
        <v>46</v>
      </c>
      <c r="E160" t="s">
        <v>11</v>
      </c>
      <c r="F160" s="1" t="d">
        <v>2024-07-16</v>
      </c>
      <c r="I160" t="str">
        <f>VLOOKUP(D160,Table3[#All],2,FALSE)</f>
        <v>Renew Europe</v>
      </c>
    </row>
    <row r="161" spans="1:9" x14ac:dyDescent="0.2">
      <c r="A161">
        <v>204336</v>
      </c>
      <c r="B161" t="s">
        <v>215</v>
      </c>
      <c r="C161" t="s">
        <v>191</v>
      </c>
      <c r="D161" t="s">
        <v>14</v>
      </c>
      <c r="E161" t="s">
        <v>11</v>
      </c>
      <c r="F161" s="1" t="d">
        <v>2024-07-16</v>
      </c>
      <c r="I161" t="str">
        <f>VLOOKUP(D161,Table3[#All],2,FALSE)</f>
        <v>EPP</v>
      </c>
    </row>
    <row r="162" spans="1:9" x14ac:dyDescent="0.2">
      <c r="A162">
        <v>190574</v>
      </c>
      <c r="B162" t="s">
        <v>216</v>
      </c>
      <c r="C162" t="s">
        <v>13</v>
      </c>
      <c r="D162" t="s">
        <v>37</v>
      </c>
      <c r="E162" t="s">
        <v>11</v>
      </c>
      <c r="F162" s="1" t="d">
        <v>2024-07-16</v>
      </c>
      <c r="I162" t="str">
        <f>VLOOKUP(D162,Table3[#All],2,FALSE)</f>
        <v>ESN</v>
      </c>
    </row>
    <row r="163" spans="1:9" x14ac:dyDescent="0.2">
      <c r="A163">
        <v>124691</v>
      </c>
      <c r="B163" t="s">
        <v>217</v>
      </c>
      <c r="C163" t="s">
        <v>85</v>
      </c>
      <c r="D163" t="s">
        <v>39</v>
      </c>
      <c r="E163" t="s">
        <v>11</v>
      </c>
      <c r="F163" s="1" t="d">
        <v>2024-07-16</v>
      </c>
      <c r="I163" t="str">
        <f>VLOOKUP(D163,Table3[#All],2,FALSE)</f>
        <v>S&amp;D</v>
      </c>
    </row>
    <row r="164" spans="1:9" x14ac:dyDescent="0.2">
      <c r="A164">
        <v>256962</v>
      </c>
      <c r="B164" t="s">
        <v>218</v>
      </c>
      <c r="C164" t="s">
        <v>13</v>
      </c>
      <c r="D164" t="s">
        <v>46</v>
      </c>
      <c r="E164" t="s">
        <v>11</v>
      </c>
      <c r="F164" s="1" t="d">
        <v>2024-07-16</v>
      </c>
      <c r="I164" t="str">
        <f>VLOOKUP(D164,Table3[#All],2,FALSE)</f>
        <v>Renew Europe</v>
      </c>
    </row>
    <row r="165" spans="1:9" x14ac:dyDescent="0.2">
      <c r="A165">
        <v>197623</v>
      </c>
      <c r="B165" t="s">
        <v>219</v>
      </c>
      <c r="C165" t="s">
        <v>58</v>
      </c>
      <c r="D165" t="s">
        <v>10</v>
      </c>
      <c r="E165" t="s">
        <v>11</v>
      </c>
      <c r="F165" s="1" t="d">
        <v>2024-07-16</v>
      </c>
      <c r="I165" t="str">
        <f>VLOOKUP(D165,Table3[#All],2,FALSE)</f>
        <v>PfE</v>
      </c>
    </row>
    <row r="166" spans="1:9" x14ac:dyDescent="0.2">
      <c r="A166">
        <v>185341</v>
      </c>
      <c r="B166" t="s">
        <v>220</v>
      </c>
      <c r="C166" t="s">
        <v>79</v>
      </c>
      <c r="D166" t="s">
        <v>14</v>
      </c>
      <c r="E166" t="s">
        <v>51</v>
      </c>
      <c r="F166" s="1" t="d">
        <v>2024-07-16</v>
      </c>
      <c r="I166" t="str">
        <f>VLOOKUP(D166,Table3[#All],2,FALSE)</f>
        <v>EPP</v>
      </c>
    </row>
    <row r="167" spans="1:9" x14ac:dyDescent="0.2">
      <c r="A167">
        <v>124739</v>
      </c>
      <c r="B167" t="s">
        <v>221</v>
      </c>
      <c r="C167" t="s">
        <v>53</v>
      </c>
      <c r="D167" t="s">
        <v>180</v>
      </c>
      <c r="E167" t="s">
        <v>11</v>
      </c>
      <c r="F167" s="1" t="d">
        <v>2019-07-02</v>
      </c>
      <c r="G167" s="1" t="d">
        <v>2024-07-15</v>
      </c>
      <c r="I167" t="str">
        <f>VLOOKUP(D167,Table3[#All],2,FALSE)</f>
        <v>S&amp;D</v>
      </c>
    </row>
    <row r="168" spans="1:9" x14ac:dyDescent="0.2">
      <c r="A168">
        <v>28223</v>
      </c>
      <c r="B168" t="s">
        <v>222</v>
      </c>
      <c r="C168" t="s">
        <v>13</v>
      </c>
      <c r="D168" t="s">
        <v>14</v>
      </c>
      <c r="E168" t="s">
        <v>11</v>
      </c>
      <c r="F168" s="1" t="d">
        <v>2024-07-16</v>
      </c>
      <c r="I168" t="str">
        <f>VLOOKUP(D168,Table3[#All],2,FALSE)</f>
        <v>EPP</v>
      </c>
    </row>
    <row r="169" spans="1:9" x14ac:dyDescent="0.2">
      <c r="A169">
        <v>96808</v>
      </c>
      <c r="B169" t="s">
        <v>223</v>
      </c>
      <c r="C169" t="s">
        <v>22</v>
      </c>
      <c r="D169" t="s">
        <v>14</v>
      </c>
      <c r="E169" t="s">
        <v>11</v>
      </c>
      <c r="F169" s="1" t="d">
        <v>2024-07-16</v>
      </c>
      <c r="I169" t="str">
        <f>VLOOKUP(D169,Table3[#All],2,FALSE)</f>
        <v>EPP</v>
      </c>
    </row>
    <row r="170" spans="1:9" x14ac:dyDescent="0.2">
      <c r="A170">
        <v>125204</v>
      </c>
      <c r="B170" t="s">
        <v>224</v>
      </c>
      <c r="C170" t="s">
        <v>22</v>
      </c>
      <c r="D170" t="s">
        <v>14</v>
      </c>
      <c r="E170" t="s">
        <v>11</v>
      </c>
      <c r="F170" s="1" t="d">
        <v>2024-07-16</v>
      </c>
      <c r="I170" t="str">
        <f>VLOOKUP(D170,Table3[#All],2,FALSE)</f>
        <v>EPP</v>
      </c>
    </row>
    <row r="171" spans="1:9" x14ac:dyDescent="0.2">
      <c r="A171">
        <v>220897</v>
      </c>
      <c r="B171" t="s">
        <v>225</v>
      </c>
      <c r="C171" t="s">
        <v>27</v>
      </c>
      <c r="D171" t="s">
        <v>10</v>
      </c>
      <c r="E171" t="s">
        <v>11</v>
      </c>
      <c r="F171" s="1" t="d">
        <v>2024-07-16</v>
      </c>
      <c r="I171" t="str">
        <f>VLOOKUP(D171,Table3[#All],2,FALSE)</f>
        <v>PfE</v>
      </c>
    </row>
    <row r="172" spans="1:9" x14ac:dyDescent="0.2">
      <c r="A172">
        <v>96761</v>
      </c>
      <c r="B172" t="s">
        <v>226</v>
      </c>
      <c r="C172" t="s">
        <v>13</v>
      </c>
      <c r="D172" t="s">
        <v>14</v>
      </c>
      <c r="E172" t="s">
        <v>11</v>
      </c>
      <c r="F172" s="1" t="d">
        <v>2024-07-16</v>
      </c>
      <c r="I172" t="str">
        <f>VLOOKUP(D172,Table3[#All],2,FALSE)</f>
        <v>EPP</v>
      </c>
    </row>
    <row r="173" spans="1:9" x14ac:dyDescent="0.2">
      <c r="A173">
        <v>197672</v>
      </c>
      <c r="B173" t="s">
        <v>227</v>
      </c>
      <c r="C173" t="s">
        <v>35</v>
      </c>
      <c r="D173" t="s">
        <v>46</v>
      </c>
      <c r="E173" t="s">
        <v>11</v>
      </c>
      <c r="F173" s="1" t="d">
        <v>2024-07-16</v>
      </c>
      <c r="I173" t="str">
        <f>VLOOKUP(D173,Table3[#All],2,FALSE)</f>
        <v>Renew Europe</v>
      </c>
    </row>
    <row r="174" spans="1:9" x14ac:dyDescent="0.2">
      <c r="A174">
        <v>197670</v>
      </c>
      <c r="B174" t="s">
        <v>228</v>
      </c>
      <c r="C174" t="s">
        <v>27</v>
      </c>
      <c r="D174" t="s">
        <v>39</v>
      </c>
      <c r="E174" t="s">
        <v>11</v>
      </c>
      <c r="F174" s="1" t="d">
        <v>2024-07-16</v>
      </c>
      <c r="I174" t="str">
        <f>VLOOKUP(D174,Table3[#All],2,FALSE)</f>
        <v>S&amp;D</v>
      </c>
    </row>
    <row r="175" spans="1:9" x14ac:dyDescent="0.2">
      <c r="A175">
        <v>130100</v>
      </c>
      <c r="B175" t="s">
        <v>229</v>
      </c>
      <c r="C175" t="s">
        <v>114</v>
      </c>
      <c r="D175" t="s">
        <v>46</v>
      </c>
      <c r="E175" t="s">
        <v>18</v>
      </c>
      <c r="F175" s="1" t="d">
        <v>2024-07-16</v>
      </c>
      <c r="I175" t="str">
        <f>VLOOKUP(D175,Table3[#All],2,FALSE)</f>
        <v>Renew Europe</v>
      </c>
    </row>
    <row r="176" spans="1:9" x14ac:dyDescent="0.2">
      <c r="A176">
        <v>97968</v>
      </c>
      <c r="B176" t="s">
        <v>230</v>
      </c>
      <c r="C176" t="s">
        <v>16</v>
      </c>
      <c r="D176" t="s">
        <v>14</v>
      </c>
      <c r="E176" t="s">
        <v>11</v>
      </c>
      <c r="F176" s="1" t="d">
        <v>2024-07-16</v>
      </c>
      <c r="I176" t="str">
        <f>VLOOKUP(D176,Table3[#All],2,FALSE)</f>
        <v>EPP</v>
      </c>
    </row>
    <row r="177" spans="1:9" x14ac:dyDescent="0.2">
      <c r="A177">
        <v>190713</v>
      </c>
      <c r="B177" t="s">
        <v>231</v>
      </c>
      <c r="C177" t="s">
        <v>27</v>
      </c>
      <c r="D177" t="s">
        <v>14</v>
      </c>
      <c r="E177" t="s">
        <v>11</v>
      </c>
      <c r="F177" s="1" t="d">
        <v>2024-07-16</v>
      </c>
      <c r="I177" t="str">
        <f>VLOOKUP(D177,Table3[#All],2,FALSE)</f>
        <v>EPP</v>
      </c>
    </row>
    <row r="178" spans="1:9" x14ac:dyDescent="0.2">
      <c r="A178">
        <v>257297</v>
      </c>
      <c r="B178" t="s">
        <v>232</v>
      </c>
      <c r="C178" t="s">
        <v>69</v>
      </c>
      <c r="D178" t="s">
        <v>46</v>
      </c>
      <c r="E178" t="s">
        <v>11</v>
      </c>
      <c r="F178" s="1" t="d">
        <v>2024-07-16</v>
      </c>
      <c r="I178" t="str">
        <f>VLOOKUP(D178,Table3[#All],2,FALSE)</f>
        <v>Renew Europe</v>
      </c>
    </row>
    <row r="179" spans="1:9" x14ac:dyDescent="0.2">
      <c r="A179">
        <v>257160</v>
      </c>
      <c r="B179" t="s">
        <v>233</v>
      </c>
      <c r="C179" t="s">
        <v>25</v>
      </c>
      <c r="D179" t="s">
        <v>39</v>
      </c>
      <c r="E179" t="s">
        <v>11</v>
      </c>
      <c r="F179" s="1" t="d">
        <v>2024-07-16</v>
      </c>
      <c r="I179" t="str">
        <f>VLOOKUP(D179,Table3[#All],2,FALSE)</f>
        <v>S&amp;D</v>
      </c>
    </row>
    <row r="180" spans="1:9" x14ac:dyDescent="0.2">
      <c r="A180">
        <v>96934</v>
      </c>
      <c r="B180" t="s">
        <v>234</v>
      </c>
      <c r="C180" t="s">
        <v>61</v>
      </c>
      <c r="D180" t="s">
        <v>14</v>
      </c>
      <c r="E180" t="s">
        <v>11</v>
      </c>
      <c r="F180" s="1" t="d">
        <v>2024-07-16</v>
      </c>
      <c r="I180" t="str">
        <f>VLOOKUP(D180,Table3[#All],2,FALSE)</f>
        <v>EPP</v>
      </c>
    </row>
    <row r="181" spans="1:9" x14ac:dyDescent="0.2">
      <c r="A181">
        <v>257005</v>
      </c>
      <c r="B181" t="s">
        <v>235</v>
      </c>
      <c r="C181" t="s">
        <v>191</v>
      </c>
      <c r="D181" t="s">
        <v>49</v>
      </c>
      <c r="E181" t="s">
        <v>11</v>
      </c>
      <c r="F181" s="1" t="d">
        <v>2024-07-16</v>
      </c>
      <c r="I181" t="str">
        <f>VLOOKUP(D181,Table3[#All],2,FALSE)</f>
        <v>Non-attached</v>
      </c>
    </row>
    <row r="182" spans="1:9" x14ac:dyDescent="0.2">
      <c r="A182">
        <v>239258</v>
      </c>
      <c r="B182" t="s">
        <v>236</v>
      </c>
      <c r="C182" t="s">
        <v>25</v>
      </c>
      <c r="D182" t="s">
        <v>146</v>
      </c>
      <c r="E182" t="s">
        <v>11</v>
      </c>
      <c r="F182" s="1" t="d">
        <v>2022-11-02</v>
      </c>
      <c r="G182" s="1" t="d">
        <v>2024-07-15</v>
      </c>
      <c r="I182" t="str">
        <f>VLOOKUP(D182,Table3[#All],2,FALSE)</f>
        <v>EPP</v>
      </c>
    </row>
    <row r="183" spans="1:9" x14ac:dyDescent="0.2">
      <c r="A183">
        <v>247122</v>
      </c>
      <c r="B183" t="s">
        <v>237</v>
      </c>
      <c r="C183" t="s">
        <v>58</v>
      </c>
      <c r="D183" t="s">
        <v>207</v>
      </c>
      <c r="E183" t="s">
        <v>11</v>
      </c>
      <c r="F183" s="1" t="d">
        <v>2023-08-10</v>
      </c>
      <c r="G183" s="1" t="d">
        <v>2024-07-15</v>
      </c>
      <c r="I183" t="str">
        <f>VLOOKUP(D183,Table3[#All],2,FALSE)</f>
        <v>Renew Europe</v>
      </c>
    </row>
    <row r="184" spans="1:9" x14ac:dyDescent="0.2">
      <c r="A184">
        <v>257296</v>
      </c>
      <c r="B184" t="s">
        <v>238</v>
      </c>
      <c r="C184" t="s">
        <v>69</v>
      </c>
      <c r="D184" t="s">
        <v>14</v>
      </c>
      <c r="E184" t="s">
        <v>11</v>
      </c>
      <c r="F184" s="1" t="d">
        <v>2024-07-16</v>
      </c>
      <c r="I184" t="str">
        <f>VLOOKUP(D184,Table3[#All],2,FALSE)</f>
        <v>EPP</v>
      </c>
    </row>
    <row r="185" spans="1:9" x14ac:dyDescent="0.2">
      <c r="A185">
        <v>96756</v>
      </c>
      <c r="B185" t="s">
        <v>239</v>
      </c>
      <c r="C185" t="s">
        <v>13</v>
      </c>
      <c r="D185" t="s">
        <v>14</v>
      </c>
      <c r="E185" t="s">
        <v>11</v>
      </c>
      <c r="F185" s="1" t="d">
        <v>2024-07-16</v>
      </c>
      <c r="I185" t="str">
        <f>VLOOKUP(D185,Table3[#All],2,FALSE)</f>
        <v>EPP</v>
      </c>
    </row>
    <row r="186" spans="1:9" x14ac:dyDescent="0.2">
      <c r="A186">
        <v>197647</v>
      </c>
      <c r="B186" t="s">
        <v>240</v>
      </c>
      <c r="C186" t="s">
        <v>35</v>
      </c>
      <c r="D186" t="s">
        <v>14</v>
      </c>
      <c r="E186" t="s">
        <v>11</v>
      </c>
      <c r="F186" s="1" t="d">
        <v>2024-07-16</v>
      </c>
      <c r="I186" t="str">
        <f>VLOOKUP(D186,Table3[#All],2,FALSE)</f>
        <v>EPP</v>
      </c>
    </row>
    <row r="187" spans="1:9" x14ac:dyDescent="0.2">
      <c r="A187">
        <v>256903</v>
      </c>
      <c r="B187" t="s">
        <v>241</v>
      </c>
      <c r="C187" t="s">
        <v>58</v>
      </c>
      <c r="D187" t="s">
        <v>39</v>
      </c>
      <c r="E187" t="s">
        <v>11</v>
      </c>
      <c r="F187" s="1" t="d">
        <v>2024-07-16</v>
      </c>
      <c r="I187" t="str">
        <f>VLOOKUP(D187,Table3[#All],2,FALSE)</f>
        <v>S&amp;D</v>
      </c>
    </row>
    <row r="188" spans="1:9" x14ac:dyDescent="0.2">
      <c r="A188">
        <v>28266</v>
      </c>
      <c r="B188" t="s">
        <v>242</v>
      </c>
      <c r="C188" t="s">
        <v>9</v>
      </c>
      <c r="D188" t="s">
        <v>207</v>
      </c>
      <c r="E188" t="s">
        <v>11</v>
      </c>
      <c r="F188" s="1" t="d">
        <v>2019-07-02</v>
      </c>
      <c r="G188" s="1" t="d">
        <v>2024-07-15</v>
      </c>
      <c r="I188" t="str">
        <f>VLOOKUP(D188,Table3[#All],2,FALSE)</f>
        <v>Renew Europe</v>
      </c>
    </row>
    <row r="189" spans="1:9" x14ac:dyDescent="0.2">
      <c r="A189">
        <v>256846</v>
      </c>
      <c r="B189" t="s">
        <v>243</v>
      </c>
      <c r="C189" t="s">
        <v>41</v>
      </c>
      <c r="D189" t="s">
        <v>14</v>
      </c>
      <c r="E189" t="s">
        <v>11</v>
      </c>
      <c r="F189" s="1" t="d">
        <v>2024-07-16</v>
      </c>
      <c r="I189" t="str">
        <f>VLOOKUP(D189,Table3[#All],2,FALSE)</f>
        <v>EPP</v>
      </c>
    </row>
    <row r="190" spans="1:9" x14ac:dyDescent="0.2">
      <c r="A190">
        <v>33998</v>
      </c>
      <c r="B190" t="s">
        <v>244</v>
      </c>
      <c r="C190" t="s">
        <v>35</v>
      </c>
      <c r="D190" t="s">
        <v>39</v>
      </c>
      <c r="E190" t="s">
        <v>11</v>
      </c>
      <c r="F190" s="1" t="d">
        <v>2024-07-16</v>
      </c>
      <c r="I190" t="str">
        <f>VLOOKUP(D190,Table3[#All],2,FALSE)</f>
        <v>S&amp;D</v>
      </c>
    </row>
    <row r="191" spans="1:9" x14ac:dyDescent="0.2">
      <c r="A191">
        <v>251874</v>
      </c>
      <c r="B191" t="s">
        <v>245</v>
      </c>
      <c r="C191" t="s">
        <v>13</v>
      </c>
      <c r="D191" t="s">
        <v>14</v>
      </c>
      <c r="E191" t="s">
        <v>11</v>
      </c>
      <c r="F191" s="1" t="d">
        <v>2024-07-16</v>
      </c>
      <c r="I191" t="str">
        <f>VLOOKUP(D191,Table3[#All],2,FALSE)</f>
        <v>EPP</v>
      </c>
    </row>
    <row r="192" spans="1:9" x14ac:dyDescent="0.2">
      <c r="A192">
        <v>96826</v>
      </c>
      <c r="B192" t="s">
        <v>246</v>
      </c>
      <c r="C192" t="s">
        <v>108</v>
      </c>
      <c r="D192" t="s">
        <v>10</v>
      </c>
      <c r="E192" t="s">
        <v>18</v>
      </c>
      <c r="F192" s="1" t="d">
        <v>2024-07-16</v>
      </c>
      <c r="I192" t="str">
        <f>VLOOKUP(D192,Table3[#All],2,FALSE)</f>
        <v>PfE</v>
      </c>
    </row>
    <row r="193" spans="1:9" x14ac:dyDescent="0.2">
      <c r="A193">
        <v>197701</v>
      </c>
      <c r="B193" t="s">
        <v>247</v>
      </c>
      <c r="C193" t="s">
        <v>48</v>
      </c>
      <c r="D193" t="s">
        <v>33</v>
      </c>
      <c r="E193" t="s">
        <v>51</v>
      </c>
      <c r="F193" s="1" t="d">
        <v>2024-07-16</v>
      </c>
      <c r="I193" t="str">
        <f>VLOOKUP(D193,Table3[#All],2,FALSE)</f>
        <v>The Left</v>
      </c>
    </row>
    <row r="194" spans="1:9" x14ac:dyDescent="0.2">
      <c r="A194">
        <v>28294</v>
      </c>
      <c r="B194" t="s">
        <v>248</v>
      </c>
      <c r="C194" t="s">
        <v>148</v>
      </c>
      <c r="D194" t="s">
        <v>29</v>
      </c>
      <c r="E194" t="s">
        <v>11</v>
      </c>
      <c r="F194" s="1" t="d">
        <v>2019-07-02</v>
      </c>
      <c r="G194" s="1" t="d">
        <v>2024-07-15</v>
      </c>
      <c r="I194" t="str">
        <f>VLOOKUP(D194,Table3[#All],2,FALSE)</f>
        <v>EPP</v>
      </c>
    </row>
    <row r="195" spans="1:9" x14ac:dyDescent="0.2">
      <c r="A195">
        <v>256983</v>
      </c>
      <c r="B195" t="s">
        <v>249</v>
      </c>
      <c r="C195" t="s">
        <v>9</v>
      </c>
      <c r="D195" t="s">
        <v>17</v>
      </c>
      <c r="E195" t="s">
        <v>11</v>
      </c>
      <c r="F195" s="1" t="d">
        <v>2026-03-11</v>
      </c>
      <c r="I195" t="str">
        <f>VLOOKUP(D195,Table3[#All],2,FALSE)</f>
        <v>ECR</v>
      </c>
    </row>
    <row r="196" spans="1:9" x14ac:dyDescent="0.2">
      <c r="A196">
        <v>256980</v>
      </c>
      <c r="B196" t="s">
        <v>250</v>
      </c>
      <c r="C196" t="s">
        <v>13</v>
      </c>
      <c r="D196" t="s">
        <v>14</v>
      </c>
      <c r="E196" t="s">
        <v>11</v>
      </c>
      <c r="F196" s="1" t="d">
        <v>2024-07-16</v>
      </c>
      <c r="I196" t="str">
        <f>VLOOKUP(D196,Table3[#All],2,FALSE)</f>
        <v>EPP</v>
      </c>
    </row>
    <row r="197" spans="1:9" x14ac:dyDescent="0.2">
      <c r="A197">
        <v>28308</v>
      </c>
      <c r="B197" t="s">
        <v>251</v>
      </c>
      <c r="C197" t="s">
        <v>53</v>
      </c>
      <c r="D197" t="s">
        <v>252</v>
      </c>
      <c r="E197" t="s">
        <v>11</v>
      </c>
      <c r="F197" s="1" t="d">
        <v>2014-07-01</v>
      </c>
      <c r="G197" s="1" t="d">
        <v>2016-06-19</v>
      </c>
      <c r="I197" t="str">
        <f>VLOOKUP(D197,Table3[#All],2,FALSE)</f>
        <v>S&amp;D</v>
      </c>
    </row>
    <row r="198" spans="1:9" x14ac:dyDescent="0.2">
      <c r="A198">
        <v>209091</v>
      </c>
      <c r="B198" t="s">
        <v>253</v>
      </c>
      <c r="C198" t="s">
        <v>73</v>
      </c>
      <c r="D198" t="s">
        <v>180</v>
      </c>
      <c r="E198" t="s">
        <v>11</v>
      </c>
      <c r="F198" s="1" t="d">
        <v>2020-11-11</v>
      </c>
      <c r="G198" s="1" t="d">
        <v>2024-07-15</v>
      </c>
      <c r="I198" t="str">
        <f>VLOOKUP(D198,Table3[#All],2,FALSE)</f>
        <v>S&amp;D</v>
      </c>
    </row>
    <row r="199" spans="1:9" x14ac:dyDescent="0.2">
      <c r="A199">
        <v>197682</v>
      </c>
      <c r="B199" t="s">
        <v>254</v>
      </c>
      <c r="C199" t="s">
        <v>27</v>
      </c>
      <c r="D199" t="s">
        <v>39</v>
      </c>
      <c r="E199" t="s">
        <v>11</v>
      </c>
      <c r="F199" s="1" t="d">
        <v>2024-07-16</v>
      </c>
      <c r="I199" t="str">
        <f>VLOOKUP(D199,Table3[#All],2,FALSE)</f>
        <v>S&amp;D</v>
      </c>
    </row>
    <row r="200" spans="1:9" x14ac:dyDescent="0.2">
      <c r="A200">
        <v>96775</v>
      </c>
      <c r="B200" t="s">
        <v>255</v>
      </c>
      <c r="C200" t="s">
        <v>25</v>
      </c>
      <c r="D200" t="s">
        <v>29</v>
      </c>
      <c r="E200" t="s">
        <v>11</v>
      </c>
      <c r="F200" s="1" t="d">
        <v>2022-11-02</v>
      </c>
      <c r="G200" s="1" t="d">
        <v>2024-07-15</v>
      </c>
      <c r="I200" t="str">
        <f>VLOOKUP(D200,Table3[#All],2,FALSE)</f>
        <v>EPP</v>
      </c>
    </row>
    <row r="201" spans="1:9" x14ac:dyDescent="0.2">
      <c r="A201">
        <v>197392</v>
      </c>
      <c r="B201" t="s">
        <v>256</v>
      </c>
      <c r="C201" t="s">
        <v>71</v>
      </c>
      <c r="D201" t="s">
        <v>39</v>
      </c>
      <c r="E201" t="s">
        <v>11</v>
      </c>
      <c r="F201" s="1" t="d">
        <v>2024-07-16</v>
      </c>
      <c r="I201" t="str">
        <f>VLOOKUP(D201,Table3[#All],2,FALSE)</f>
        <v>S&amp;D</v>
      </c>
    </row>
    <row r="202" spans="1:9" x14ac:dyDescent="0.2">
      <c r="A202">
        <v>257070</v>
      </c>
      <c r="B202" t="s">
        <v>257</v>
      </c>
      <c r="C202" t="s">
        <v>44</v>
      </c>
      <c r="D202" t="s">
        <v>37</v>
      </c>
      <c r="E202" t="s">
        <v>11</v>
      </c>
      <c r="F202" s="1" t="d">
        <v>2024-07-16</v>
      </c>
      <c r="I202" t="str">
        <f>VLOOKUP(D202,Table3[#All],2,FALSE)</f>
        <v>ESN</v>
      </c>
    </row>
    <row r="203" spans="1:9" x14ac:dyDescent="0.2">
      <c r="A203">
        <v>256885</v>
      </c>
      <c r="B203" t="s">
        <v>258</v>
      </c>
      <c r="C203" t="s">
        <v>114</v>
      </c>
      <c r="D203" t="s">
        <v>39</v>
      </c>
      <c r="E203" t="s">
        <v>11</v>
      </c>
      <c r="F203" s="1" t="d">
        <v>2024-07-16</v>
      </c>
      <c r="I203" t="str">
        <f>VLOOKUP(D203,Table3[#All],2,FALSE)</f>
        <v>S&amp;D</v>
      </c>
    </row>
    <row r="204" spans="1:9" x14ac:dyDescent="0.2">
      <c r="A204">
        <v>256882</v>
      </c>
      <c r="B204" t="s">
        <v>259</v>
      </c>
      <c r="C204" t="s">
        <v>58</v>
      </c>
      <c r="D204" t="s">
        <v>10</v>
      </c>
      <c r="E204" t="s">
        <v>11</v>
      </c>
      <c r="F204" s="1" t="d">
        <v>2024-07-16</v>
      </c>
      <c r="I204" t="str">
        <f>VLOOKUP(D204,Table3[#All],2,FALSE)</f>
        <v>PfE</v>
      </c>
    </row>
    <row r="205" spans="1:9" x14ac:dyDescent="0.2">
      <c r="A205">
        <v>257090</v>
      </c>
      <c r="B205" t="s">
        <v>260</v>
      </c>
      <c r="C205" t="s">
        <v>71</v>
      </c>
      <c r="D205" t="s">
        <v>17</v>
      </c>
      <c r="E205" t="s">
        <v>11</v>
      </c>
      <c r="F205" s="1" t="d">
        <v>2024-07-16</v>
      </c>
      <c r="I205" t="str">
        <f>VLOOKUP(D205,Table3[#All],2,FALSE)</f>
        <v>ECR</v>
      </c>
    </row>
    <row r="206" spans="1:9" x14ac:dyDescent="0.2">
      <c r="A206">
        <v>256845</v>
      </c>
      <c r="B206" t="s">
        <v>261</v>
      </c>
      <c r="C206" t="s">
        <v>41</v>
      </c>
      <c r="D206" t="s">
        <v>17</v>
      </c>
      <c r="E206" t="s">
        <v>11</v>
      </c>
      <c r="F206" s="1" t="d">
        <v>2024-07-16</v>
      </c>
      <c r="I206" t="str">
        <f>VLOOKUP(D206,Table3[#All],2,FALSE)</f>
        <v>ECR</v>
      </c>
    </row>
    <row r="207" spans="1:9" x14ac:dyDescent="0.2">
      <c r="A207">
        <v>256831</v>
      </c>
      <c r="B207" t="s">
        <v>262</v>
      </c>
      <c r="C207" t="s">
        <v>27</v>
      </c>
      <c r="D207" t="s">
        <v>14</v>
      </c>
      <c r="E207" t="s">
        <v>11</v>
      </c>
      <c r="F207" s="1" t="d">
        <v>2024-07-16</v>
      </c>
      <c r="I207" t="str">
        <f>VLOOKUP(D207,Table3[#All],2,FALSE)</f>
        <v>EPP</v>
      </c>
    </row>
    <row r="208" spans="1:9" x14ac:dyDescent="0.2">
      <c r="A208">
        <v>97399</v>
      </c>
      <c r="B208" t="s">
        <v>263</v>
      </c>
      <c r="C208" t="s">
        <v>9</v>
      </c>
      <c r="D208" t="s">
        <v>14</v>
      </c>
      <c r="E208" t="s">
        <v>11</v>
      </c>
      <c r="F208" s="1" t="d">
        <v>2024-07-16</v>
      </c>
      <c r="I208" t="str">
        <f>VLOOKUP(D208,Table3[#All],2,FALSE)</f>
        <v>EPP</v>
      </c>
    </row>
    <row r="209" spans="1:9" x14ac:dyDescent="0.2">
      <c r="A209">
        <v>95074</v>
      </c>
      <c r="B209" t="s">
        <v>264</v>
      </c>
      <c r="C209" t="s">
        <v>9</v>
      </c>
      <c r="D209" t="s">
        <v>14</v>
      </c>
      <c r="E209" t="s">
        <v>51</v>
      </c>
      <c r="F209" s="1" t="d">
        <v>2024-07-16</v>
      </c>
      <c r="I209" t="str">
        <f>VLOOKUP(D209,Table3[#All],2,FALSE)</f>
        <v>EPP</v>
      </c>
    </row>
    <row r="210" spans="1:9" x14ac:dyDescent="0.2">
      <c r="A210">
        <v>124760</v>
      </c>
      <c r="B210" t="s">
        <v>265</v>
      </c>
      <c r="C210" t="s">
        <v>58</v>
      </c>
      <c r="D210" t="s">
        <v>17</v>
      </c>
      <c r="E210" t="s">
        <v>51</v>
      </c>
      <c r="F210" s="1" t="d">
        <v>2024-11-26</v>
      </c>
      <c r="I210" t="str">
        <f>VLOOKUP(D210,Table3[#All],2,FALSE)</f>
        <v>ECR</v>
      </c>
    </row>
    <row r="211" spans="1:9" x14ac:dyDescent="0.2">
      <c r="A211">
        <v>197401</v>
      </c>
      <c r="B211" t="s">
        <v>266</v>
      </c>
      <c r="C211" t="s">
        <v>71</v>
      </c>
      <c r="D211" t="s">
        <v>46</v>
      </c>
      <c r="E211" t="s">
        <v>18</v>
      </c>
      <c r="F211" s="1" t="d">
        <v>2024-07-16</v>
      </c>
      <c r="I211" t="str">
        <f>VLOOKUP(D211,Table3[#All],2,FALSE)</f>
        <v>Renew Europe</v>
      </c>
    </row>
    <row r="212" spans="1:9" x14ac:dyDescent="0.2">
      <c r="A212">
        <v>197422</v>
      </c>
      <c r="B212" t="s">
        <v>267</v>
      </c>
      <c r="C212" t="s">
        <v>13</v>
      </c>
      <c r="D212" t="s">
        <v>14</v>
      </c>
      <c r="E212" t="s">
        <v>11</v>
      </c>
      <c r="F212" s="1" t="d">
        <v>2024-07-16</v>
      </c>
      <c r="I212" t="str">
        <f>VLOOKUP(D212,Table3[#All],2,FALSE)</f>
        <v>EPP</v>
      </c>
    </row>
    <row r="213" spans="1:9" x14ac:dyDescent="0.2">
      <c r="A213">
        <v>124858</v>
      </c>
      <c r="B213" t="s">
        <v>268</v>
      </c>
      <c r="C213" t="s">
        <v>13</v>
      </c>
      <c r="D213" t="s">
        <v>49</v>
      </c>
      <c r="E213" t="s">
        <v>11</v>
      </c>
      <c r="F213" s="1" t="d">
        <v>2024-07-16</v>
      </c>
      <c r="I213" t="str">
        <f>VLOOKUP(D213,Table3[#All],2,FALSE)</f>
        <v>Non-attached</v>
      </c>
    </row>
    <row r="214" spans="1:9" x14ac:dyDescent="0.2">
      <c r="A214">
        <v>197391</v>
      </c>
      <c r="B214" t="s">
        <v>269</v>
      </c>
      <c r="C214" t="s">
        <v>71</v>
      </c>
      <c r="D214" t="s">
        <v>39</v>
      </c>
      <c r="E214" t="s">
        <v>51</v>
      </c>
      <c r="F214" s="1" t="d">
        <v>2024-07-16</v>
      </c>
      <c r="I214" t="str">
        <f>VLOOKUP(D214,Table3[#All],2,FALSE)</f>
        <v>S&amp;D</v>
      </c>
    </row>
    <row r="215" spans="1:9" x14ac:dyDescent="0.2">
      <c r="A215">
        <v>23699</v>
      </c>
      <c r="B215" t="s">
        <v>270</v>
      </c>
      <c r="C215" t="s">
        <v>41</v>
      </c>
      <c r="D215" t="s">
        <v>49</v>
      </c>
      <c r="E215" t="s">
        <v>11</v>
      </c>
      <c r="F215" s="1" t="d">
        <v>2024-07-16</v>
      </c>
      <c r="I215" t="str">
        <f>VLOOKUP(D215,Table3[#All],2,FALSE)</f>
        <v>Non-attached</v>
      </c>
    </row>
    <row r="216" spans="1:9" x14ac:dyDescent="0.2">
      <c r="A216">
        <v>22858</v>
      </c>
      <c r="B216" t="s">
        <v>271</v>
      </c>
      <c r="C216" t="s">
        <v>58</v>
      </c>
      <c r="D216" t="s">
        <v>46</v>
      </c>
      <c r="E216" t="s">
        <v>11</v>
      </c>
      <c r="F216" s="1" t="d">
        <v>2024-07-16</v>
      </c>
      <c r="I216" t="str">
        <f>VLOOKUP(D216,Table3[#All],2,FALSE)</f>
        <v>Renew Europe</v>
      </c>
    </row>
    <row r="217" spans="1:9" x14ac:dyDescent="0.2">
      <c r="A217">
        <v>28307</v>
      </c>
      <c r="B217" t="s">
        <v>272</v>
      </c>
      <c r="C217" t="s">
        <v>53</v>
      </c>
      <c r="D217" t="s">
        <v>39</v>
      </c>
      <c r="E217" t="s">
        <v>11</v>
      </c>
      <c r="F217" s="1" t="d">
        <v>2024-07-16</v>
      </c>
      <c r="I217" t="str">
        <f>VLOOKUP(D217,Table3[#All],2,FALSE)</f>
        <v>S&amp;D</v>
      </c>
    </row>
    <row r="218" spans="1:9" x14ac:dyDescent="0.2">
      <c r="A218">
        <v>96811</v>
      </c>
      <c r="B218" t="s">
        <v>273</v>
      </c>
      <c r="C218" t="s">
        <v>22</v>
      </c>
      <c r="D218" t="s">
        <v>14</v>
      </c>
      <c r="E218" t="s">
        <v>11</v>
      </c>
      <c r="F218" s="1" t="d">
        <v>2024-07-16</v>
      </c>
      <c r="I218" t="str">
        <f>VLOOKUP(D218,Table3[#All],2,FALSE)</f>
        <v>EPP</v>
      </c>
    </row>
    <row r="219" spans="1:9" x14ac:dyDescent="0.2">
      <c r="A219">
        <v>197491</v>
      </c>
      <c r="B219" t="s">
        <v>274</v>
      </c>
      <c r="C219" t="s">
        <v>63</v>
      </c>
      <c r="D219" t="s">
        <v>39</v>
      </c>
      <c r="E219" t="s">
        <v>11</v>
      </c>
      <c r="F219" s="1" t="d">
        <v>2024-07-16</v>
      </c>
      <c r="I219" t="str">
        <f>VLOOKUP(D219,Table3[#All],2,FALSE)</f>
        <v>S&amp;D</v>
      </c>
    </row>
    <row r="220" spans="1:9" x14ac:dyDescent="0.2">
      <c r="A220">
        <v>197655</v>
      </c>
      <c r="B220" t="s">
        <v>275</v>
      </c>
      <c r="C220" t="s">
        <v>35</v>
      </c>
      <c r="D220" t="s">
        <v>17</v>
      </c>
      <c r="E220" t="s">
        <v>18</v>
      </c>
      <c r="F220" s="1" t="d">
        <v>2024-07-16</v>
      </c>
      <c r="I220" t="str">
        <f>VLOOKUP(D220,Table3[#All],2,FALSE)</f>
        <v>ECR</v>
      </c>
    </row>
    <row r="221" spans="1:9" x14ac:dyDescent="0.2">
      <c r="A221">
        <v>197742</v>
      </c>
      <c r="B221" t="s">
        <v>276</v>
      </c>
      <c r="C221" t="s">
        <v>22</v>
      </c>
      <c r="D221" t="s">
        <v>180</v>
      </c>
      <c r="E221" t="s">
        <v>11</v>
      </c>
      <c r="F221" s="1" t="d">
        <v>2019-07-02</v>
      </c>
      <c r="G221" s="1" t="d">
        <v>2024-07-15</v>
      </c>
      <c r="I221" t="str">
        <f>VLOOKUP(D221,Table3[#All],2,FALSE)</f>
        <v>S&amp;D</v>
      </c>
    </row>
    <row r="222" spans="1:9" x14ac:dyDescent="0.2">
      <c r="A222">
        <v>257063</v>
      </c>
      <c r="B222" t="s">
        <v>277</v>
      </c>
      <c r="C222" t="s">
        <v>53</v>
      </c>
      <c r="D222" t="s">
        <v>33</v>
      </c>
      <c r="E222" t="s">
        <v>18</v>
      </c>
      <c r="F222" s="1" t="d">
        <v>2024-07-18</v>
      </c>
      <c r="I222" t="str">
        <f>VLOOKUP(D222,Table3[#All],2,FALSE)</f>
        <v>The Left</v>
      </c>
    </row>
    <row r="223" spans="1:9" x14ac:dyDescent="0.2">
      <c r="A223">
        <v>198084</v>
      </c>
      <c r="B223" t="s">
        <v>278</v>
      </c>
      <c r="C223" t="s">
        <v>96</v>
      </c>
      <c r="D223" t="s">
        <v>46</v>
      </c>
      <c r="E223" t="s">
        <v>11</v>
      </c>
      <c r="F223" s="1" t="d">
        <v>2024-07-16</v>
      </c>
      <c r="I223" t="str">
        <f>VLOOKUP(D223,Table3[#All],2,FALSE)</f>
        <v>Renew Europe</v>
      </c>
    </row>
    <row r="224" spans="1:9" x14ac:dyDescent="0.2">
      <c r="A224">
        <v>256927</v>
      </c>
      <c r="B224" t="s">
        <v>279</v>
      </c>
      <c r="C224" t="s">
        <v>13</v>
      </c>
      <c r="D224" t="s">
        <v>33</v>
      </c>
      <c r="E224" t="s">
        <v>11</v>
      </c>
      <c r="F224" s="1" t="d">
        <v>2024-07-16</v>
      </c>
      <c r="G224" s="1" t="d">
        <v>2025-09-15</v>
      </c>
      <c r="I224" t="str">
        <f>VLOOKUP(D224,Table3[#All],2,FALSE)</f>
        <v>The Left</v>
      </c>
    </row>
    <row r="225" spans="1:9" x14ac:dyDescent="0.2">
      <c r="A225">
        <v>28156</v>
      </c>
      <c r="B225" t="s">
        <v>280</v>
      </c>
      <c r="C225" t="s">
        <v>131</v>
      </c>
      <c r="D225" t="s">
        <v>281</v>
      </c>
      <c r="E225" t="s">
        <v>11</v>
      </c>
      <c r="F225" s="1" t="d">
        <v>2009-07-14</v>
      </c>
      <c r="G225" s="1" t="d">
        <v>2013-12-11</v>
      </c>
      <c r="I225" t="str">
        <f>VLOOKUP(D225,Table3[#All],2,FALSE)</f>
        <v>S&amp;D</v>
      </c>
    </row>
    <row r="226" spans="1:9" x14ac:dyDescent="0.2">
      <c r="A226">
        <v>256910</v>
      </c>
      <c r="B226" t="s">
        <v>282</v>
      </c>
      <c r="C226" t="s">
        <v>58</v>
      </c>
      <c r="D226" t="s">
        <v>33</v>
      </c>
      <c r="E226" t="s">
        <v>11</v>
      </c>
      <c r="F226" s="1" t="d">
        <v>2024-07-16</v>
      </c>
      <c r="I226" t="str">
        <f>VLOOKUP(D226,Table3[#All],2,FALSE)</f>
        <v>The Left</v>
      </c>
    </row>
    <row r="227" spans="1:9" x14ac:dyDescent="0.2">
      <c r="A227">
        <v>257111</v>
      </c>
      <c r="B227" t="s">
        <v>283</v>
      </c>
      <c r="C227" t="s">
        <v>25</v>
      </c>
      <c r="D227" t="s">
        <v>39</v>
      </c>
      <c r="E227" t="s">
        <v>11</v>
      </c>
      <c r="F227" s="1" t="d">
        <v>2024-07-16</v>
      </c>
      <c r="I227" t="str">
        <f>VLOOKUP(D227,Table3[#All],2,FALSE)</f>
        <v>S&amp;D</v>
      </c>
    </row>
    <row r="228" spans="1:9" x14ac:dyDescent="0.2">
      <c r="A228">
        <v>256907</v>
      </c>
      <c r="B228" t="s">
        <v>284</v>
      </c>
      <c r="C228" t="s">
        <v>61</v>
      </c>
      <c r="D228" t="s">
        <v>17</v>
      </c>
      <c r="E228" t="s">
        <v>11</v>
      </c>
      <c r="F228" s="1" t="d">
        <v>2024-07-16</v>
      </c>
      <c r="I228" t="str">
        <f>VLOOKUP(D228,Table3[#All],2,FALSE)</f>
        <v>ECR</v>
      </c>
    </row>
    <row r="229" spans="1:9" x14ac:dyDescent="0.2">
      <c r="A229">
        <v>257132</v>
      </c>
      <c r="B229" t="s">
        <v>285</v>
      </c>
      <c r="C229" t="s">
        <v>25</v>
      </c>
      <c r="D229" t="s">
        <v>20</v>
      </c>
      <c r="E229" t="s">
        <v>51</v>
      </c>
      <c r="F229" s="1" t="d">
        <v>2024-11-13</v>
      </c>
      <c r="I229" t="str">
        <f>VLOOKUP(D229,Table3[#All],2,FALSE)</f>
        <v>Greens/EFA</v>
      </c>
    </row>
    <row r="230" spans="1:9" x14ac:dyDescent="0.2">
      <c r="A230">
        <v>197439</v>
      </c>
      <c r="B230" t="s">
        <v>286</v>
      </c>
      <c r="C230" t="s">
        <v>13</v>
      </c>
      <c r="D230" t="s">
        <v>20</v>
      </c>
      <c r="E230" t="s">
        <v>11</v>
      </c>
      <c r="F230" s="1" t="d">
        <v>2024-07-16</v>
      </c>
      <c r="I230" t="str">
        <f>VLOOKUP(D230,Table3[#All],2,FALSE)</f>
        <v>Greens/EFA</v>
      </c>
    </row>
    <row r="231" spans="1:9" x14ac:dyDescent="0.2">
      <c r="A231">
        <v>124895</v>
      </c>
      <c r="B231" t="s">
        <v>287</v>
      </c>
      <c r="C231" t="s">
        <v>44</v>
      </c>
      <c r="D231" t="s">
        <v>14</v>
      </c>
      <c r="E231" t="s">
        <v>11</v>
      </c>
      <c r="F231" s="1" t="d">
        <v>2024-07-16</v>
      </c>
      <c r="I231" t="str">
        <f>VLOOKUP(D231,Table3[#All],2,FALSE)</f>
        <v>EPP</v>
      </c>
    </row>
    <row r="232" spans="1:9" x14ac:dyDescent="0.2">
      <c r="A232">
        <v>40599</v>
      </c>
      <c r="B232" t="s">
        <v>288</v>
      </c>
      <c r="C232" t="s">
        <v>96</v>
      </c>
      <c r="D232" t="s">
        <v>14</v>
      </c>
      <c r="E232" t="s">
        <v>11</v>
      </c>
      <c r="F232" s="1" t="d">
        <v>2024-12-01</v>
      </c>
      <c r="I232" t="str">
        <f>VLOOKUP(D232,Table3[#All],2,FALSE)</f>
        <v>EPP</v>
      </c>
    </row>
    <row r="233" spans="1:9" x14ac:dyDescent="0.2">
      <c r="A233">
        <v>257059</v>
      </c>
      <c r="B233" t="s">
        <v>289</v>
      </c>
      <c r="C233" t="s">
        <v>53</v>
      </c>
      <c r="D233" t="s">
        <v>39</v>
      </c>
      <c r="E233" t="s">
        <v>11</v>
      </c>
      <c r="F233" s="1" t="d">
        <v>2024-07-16</v>
      </c>
      <c r="I233" t="str">
        <f>VLOOKUP(D233,Table3[#All],2,FALSE)</f>
        <v>S&amp;D</v>
      </c>
    </row>
    <row r="234" spans="1:9" x14ac:dyDescent="0.2">
      <c r="A234">
        <v>256888</v>
      </c>
      <c r="B234" t="s">
        <v>290</v>
      </c>
      <c r="C234" t="s">
        <v>58</v>
      </c>
      <c r="D234" t="s">
        <v>10</v>
      </c>
      <c r="E234" t="s">
        <v>11</v>
      </c>
      <c r="F234" s="1" t="d">
        <v>2024-07-16</v>
      </c>
      <c r="I234" t="str">
        <f>VLOOKUP(D234,Table3[#All],2,FALSE)</f>
        <v>PfE</v>
      </c>
    </row>
    <row r="235" spans="1:9" x14ac:dyDescent="0.2">
      <c r="A235">
        <v>119652</v>
      </c>
      <c r="B235" t="s">
        <v>291</v>
      </c>
      <c r="C235" t="s">
        <v>65</v>
      </c>
      <c r="D235" t="s">
        <v>39</v>
      </c>
      <c r="E235" t="s">
        <v>11</v>
      </c>
      <c r="F235" s="1" t="d">
        <v>2024-07-16</v>
      </c>
      <c r="I235" t="str">
        <f>VLOOKUP(D235,Table3[#All],2,FALSE)</f>
        <v>S&amp;D</v>
      </c>
    </row>
    <row r="236" spans="1:9" x14ac:dyDescent="0.2">
      <c r="A236">
        <v>257078</v>
      </c>
      <c r="B236" t="s">
        <v>292</v>
      </c>
      <c r="C236" t="s">
        <v>53</v>
      </c>
      <c r="D236" t="s">
        <v>14</v>
      </c>
      <c r="E236" t="s">
        <v>11</v>
      </c>
      <c r="F236" s="1" t="d">
        <v>2024-07-16</v>
      </c>
      <c r="I236" t="str">
        <f>VLOOKUP(D236,Table3[#All],2,FALSE)</f>
        <v>EPP</v>
      </c>
    </row>
    <row r="237" spans="1:9" x14ac:dyDescent="0.2">
      <c r="A237">
        <v>236050</v>
      </c>
      <c r="B237" t="s">
        <v>293</v>
      </c>
      <c r="C237" t="s">
        <v>58</v>
      </c>
      <c r="D237" t="s">
        <v>10</v>
      </c>
      <c r="E237" t="s">
        <v>11</v>
      </c>
      <c r="F237" s="1" t="d">
        <v>2024-07-16</v>
      </c>
      <c r="I237" t="str">
        <f>VLOOKUP(D237,Table3[#All],2,FALSE)</f>
        <v>PfE</v>
      </c>
    </row>
    <row r="238" spans="1:9" x14ac:dyDescent="0.2">
      <c r="A238">
        <v>96830</v>
      </c>
      <c r="B238" t="s">
        <v>294</v>
      </c>
      <c r="C238" t="s">
        <v>108</v>
      </c>
      <c r="D238" t="s">
        <v>10</v>
      </c>
      <c r="E238" t="s">
        <v>11</v>
      </c>
      <c r="F238" s="1" t="d">
        <v>2024-07-16</v>
      </c>
      <c r="I238" t="str">
        <f>VLOOKUP(D238,Table3[#All],2,FALSE)</f>
        <v>PfE</v>
      </c>
    </row>
    <row r="239" spans="1:9" x14ac:dyDescent="0.2">
      <c r="A239">
        <v>256915</v>
      </c>
      <c r="B239" t="s">
        <v>295</v>
      </c>
      <c r="C239" t="s">
        <v>58</v>
      </c>
      <c r="D239" t="s">
        <v>20</v>
      </c>
      <c r="E239" t="s">
        <v>11</v>
      </c>
      <c r="F239" s="1" t="d">
        <v>2024-07-16</v>
      </c>
      <c r="I239" t="str">
        <f>VLOOKUP(D239,Table3[#All],2,FALSE)</f>
        <v>Greens/EFA</v>
      </c>
    </row>
    <row r="240" spans="1:9" x14ac:dyDescent="0.2">
      <c r="A240">
        <v>188096</v>
      </c>
      <c r="B240" t="s">
        <v>296</v>
      </c>
      <c r="C240" t="s">
        <v>63</v>
      </c>
      <c r="D240" t="s">
        <v>14</v>
      </c>
      <c r="E240" t="s">
        <v>11</v>
      </c>
      <c r="F240" s="1" t="d">
        <v>2024-07-16</v>
      </c>
      <c r="I240" t="str">
        <f>VLOOKUP(D240,Table3[#All],2,FALSE)</f>
        <v>EPP</v>
      </c>
    </row>
    <row r="241" spans="1:9" x14ac:dyDescent="0.2">
      <c r="A241">
        <v>124735</v>
      </c>
      <c r="B241" t="s">
        <v>297</v>
      </c>
      <c r="C241" t="s">
        <v>96</v>
      </c>
      <c r="D241" t="s">
        <v>180</v>
      </c>
      <c r="E241" t="s">
        <v>11</v>
      </c>
      <c r="F241" s="1" t="d">
        <v>2019-07-02</v>
      </c>
      <c r="G241" s="1" t="d">
        <v>2024-07-15</v>
      </c>
      <c r="I241" t="str">
        <f>VLOOKUP(D241,Table3[#All],2,FALSE)</f>
        <v>S&amp;D</v>
      </c>
    </row>
    <row r="242" spans="1:9" x14ac:dyDescent="0.2">
      <c r="A242">
        <v>39315</v>
      </c>
      <c r="B242" t="s">
        <v>298</v>
      </c>
      <c r="C242" t="s">
        <v>48</v>
      </c>
      <c r="D242" t="s">
        <v>299</v>
      </c>
      <c r="E242" t="s">
        <v>11</v>
      </c>
      <c r="F242" s="1" t="d">
        <v>2007-10-01</v>
      </c>
      <c r="G242" s="1" t="d">
        <v>2009-07-13</v>
      </c>
      <c r="I242" t="str">
        <f>VLOOKUP(D242,Table3[#All],2,FALSE)</f>
        <v>EPP</v>
      </c>
    </row>
    <row r="243" spans="1:9" x14ac:dyDescent="0.2">
      <c r="A243">
        <v>247735</v>
      </c>
      <c r="B243" t="s">
        <v>300</v>
      </c>
      <c r="C243" t="s">
        <v>22</v>
      </c>
      <c r="D243" t="s">
        <v>39</v>
      </c>
      <c r="E243" t="s">
        <v>11</v>
      </c>
      <c r="F243" s="1" t="d">
        <v>2024-07-16</v>
      </c>
      <c r="I243" t="str">
        <f>VLOOKUP(D243,Table3[#All],2,FALSE)</f>
        <v>S&amp;D</v>
      </c>
    </row>
    <row r="244" spans="1:9" x14ac:dyDescent="0.2">
      <c r="A244">
        <v>256928</v>
      </c>
      <c r="B244" t="s">
        <v>301</v>
      </c>
      <c r="C244" t="s">
        <v>13</v>
      </c>
      <c r="D244" t="s">
        <v>37</v>
      </c>
      <c r="E244" t="s">
        <v>11</v>
      </c>
      <c r="F244" s="1" t="d">
        <v>2024-07-16</v>
      </c>
      <c r="I244" t="str">
        <f>VLOOKUP(D244,Table3[#All],2,FALSE)</f>
        <v>ESN</v>
      </c>
    </row>
    <row r="245" spans="1:9" x14ac:dyDescent="0.2">
      <c r="A245">
        <v>219652</v>
      </c>
      <c r="B245" t="s">
        <v>302</v>
      </c>
      <c r="C245" t="s">
        <v>148</v>
      </c>
      <c r="D245" t="s">
        <v>14</v>
      </c>
      <c r="E245" t="s">
        <v>11</v>
      </c>
      <c r="F245" s="1" t="d">
        <v>2024-07-16</v>
      </c>
      <c r="I245" t="str">
        <f>VLOOKUP(D245,Table3[#All],2,FALSE)</f>
        <v>EPP</v>
      </c>
    </row>
    <row r="246" spans="1:9" x14ac:dyDescent="0.2">
      <c r="A246">
        <v>257133</v>
      </c>
      <c r="B246" t="s">
        <v>303</v>
      </c>
      <c r="C246" t="s">
        <v>25</v>
      </c>
      <c r="D246" t="s">
        <v>33</v>
      </c>
      <c r="E246" t="s">
        <v>18</v>
      </c>
      <c r="F246" s="1" t="d">
        <v>2024-07-18</v>
      </c>
      <c r="I246" t="str">
        <f>VLOOKUP(D246,Table3[#All],2,FALSE)</f>
        <v>The Left</v>
      </c>
    </row>
    <row r="247" spans="1:9" x14ac:dyDescent="0.2">
      <c r="A247">
        <v>197552</v>
      </c>
      <c r="B247" t="s">
        <v>304</v>
      </c>
      <c r="C247" t="s">
        <v>41</v>
      </c>
      <c r="D247" t="s">
        <v>17</v>
      </c>
      <c r="E247" t="s">
        <v>18</v>
      </c>
      <c r="F247" s="1" t="d">
        <v>2024-07-16</v>
      </c>
      <c r="I247" t="str">
        <f>VLOOKUP(D247,Table3[#All],2,FALSE)</f>
        <v>ECR</v>
      </c>
    </row>
    <row r="248" spans="1:9" x14ac:dyDescent="0.2">
      <c r="A248">
        <v>197461</v>
      </c>
      <c r="B248" t="s">
        <v>305</v>
      </c>
      <c r="C248" t="s">
        <v>13</v>
      </c>
      <c r="D248" t="s">
        <v>20</v>
      </c>
      <c r="E248" t="s">
        <v>11</v>
      </c>
      <c r="F248" s="1" t="d">
        <v>2024-07-16</v>
      </c>
      <c r="I248" t="str">
        <f>VLOOKUP(D248,Table3[#All],2,FALSE)</f>
        <v>Greens/EFA</v>
      </c>
    </row>
    <row r="249" spans="1:9" x14ac:dyDescent="0.2">
      <c r="A249">
        <v>4289</v>
      </c>
      <c r="B249" t="s">
        <v>306</v>
      </c>
      <c r="C249" t="s">
        <v>13</v>
      </c>
      <c r="D249" t="s">
        <v>14</v>
      </c>
      <c r="E249" t="s">
        <v>11</v>
      </c>
      <c r="F249" s="1" t="d">
        <v>2024-07-16</v>
      </c>
      <c r="I249" t="str">
        <f>VLOOKUP(D249,Table3[#All],2,FALSE)</f>
        <v>EPP</v>
      </c>
    </row>
    <row r="250" spans="1:9" x14ac:dyDescent="0.2">
      <c r="A250">
        <v>28226</v>
      </c>
      <c r="B250" t="s">
        <v>307</v>
      </c>
      <c r="C250" t="s">
        <v>13</v>
      </c>
      <c r="D250" t="s">
        <v>14</v>
      </c>
      <c r="E250" t="s">
        <v>11</v>
      </c>
      <c r="F250" s="1" t="d">
        <v>2024-07-16</v>
      </c>
      <c r="I250" t="str">
        <f>VLOOKUP(D250,Table3[#All],2,FALSE)</f>
        <v>EPP</v>
      </c>
    </row>
    <row r="251" spans="1:9" x14ac:dyDescent="0.2">
      <c r="A251">
        <v>197449</v>
      </c>
      <c r="B251" t="s">
        <v>308</v>
      </c>
      <c r="C251" t="s">
        <v>13</v>
      </c>
      <c r="D251" t="s">
        <v>20</v>
      </c>
      <c r="E251" t="s">
        <v>11</v>
      </c>
      <c r="F251" s="1" t="d">
        <v>2024-07-16</v>
      </c>
      <c r="I251" t="str">
        <f>VLOOKUP(D251,Table3[#All],2,FALSE)</f>
        <v>Greens/EFA</v>
      </c>
    </row>
    <row r="252" spans="1:9" x14ac:dyDescent="0.2">
      <c r="A252">
        <v>197763</v>
      </c>
      <c r="B252" t="s">
        <v>309</v>
      </c>
      <c r="C252" t="s">
        <v>191</v>
      </c>
      <c r="D252" t="s">
        <v>37</v>
      </c>
      <c r="E252" t="s">
        <v>51</v>
      </c>
      <c r="F252" s="1" t="d">
        <v>2024-07-16</v>
      </c>
      <c r="I252" t="str">
        <f>VLOOKUP(D252,Table3[#All],2,FALSE)</f>
        <v>ESN</v>
      </c>
    </row>
    <row r="253" spans="1:9" x14ac:dyDescent="0.2">
      <c r="A253">
        <v>257013</v>
      </c>
      <c r="B253" t="s">
        <v>310</v>
      </c>
      <c r="C253" t="s">
        <v>191</v>
      </c>
      <c r="D253" t="s">
        <v>46</v>
      </c>
      <c r="E253" t="s">
        <v>11</v>
      </c>
      <c r="F253" s="1" t="d">
        <v>2024-07-16</v>
      </c>
      <c r="I253" t="str">
        <f>VLOOKUP(D253,Table3[#All],2,FALSE)</f>
        <v>Renew Europe</v>
      </c>
    </row>
    <row r="254" spans="1:9" x14ac:dyDescent="0.2">
      <c r="A254">
        <v>257019</v>
      </c>
      <c r="B254" t="s">
        <v>311</v>
      </c>
      <c r="C254" t="s">
        <v>22</v>
      </c>
      <c r="D254" t="s">
        <v>49</v>
      </c>
      <c r="E254" t="s">
        <v>11</v>
      </c>
      <c r="F254" s="1" t="d">
        <v>2024-07-16</v>
      </c>
      <c r="I254" t="str">
        <f>VLOOKUP(D254,Table3[#All],2,FALSE)</f>
        <v>Non-attached</v>
      </c>
    </row>
    <row r="255" spans="1:9" x14ac:dyDescent="0.2">
      <c r="A255">
        <v>256999</v>
      </c>
      <c r="B255" t="s">
        <v>312</v>
      </c>
      <c r="C255" t="s">
        <v>22</v>
      </c>
      <c r="D255" t="s">
        <v>39</v>
      </c>
      <c r="E255" t="s">
        <v>11</v>
      </c>
      <c r="F255" s="1" t="d">
        <v>2024-07-16</v>
      </c>
      <c r="I255" t="str">
        <f>VLOOKUP(D255,Table3[#All],2,FALSE)</f>
        <v>S&amp;D</v>
      </c>
    </row>
    <row r="256" spans="1:9" x14ac:dyDescent="0.2">
      <c r="A256">
        <v>202073</v>
      </c>
      <c r="B256" t="s">
        <v>313</v>
      </c>
      <c r="C256" t="s">
        <v>314</v>
      </c>
      <c r="D256" t="s">
        <v>39</v>
      </c>
      <c r="E256" t="s">
        <v>11</v>
      </c>
      <c r="F256" s="1" t="d">
        <v>2024-07-16</v>
      </c>
      <c r="I256" t="str">
        <f>VLOOKUP(D256,Table3[#All],2,FALSE)</f>
        <v>S&amp;D</v>
      </c>
    </row>
    <row r="257" spans="1:9" x14ac:dyDescent="0.2">
      <c r="A257">
        <v>230085</v>
      </c>
      <c r="B257" t="s">
        <v>315</v>
      </c>
      <c r="C257" t="s">
        <v>25</v>
      </c>
      <c r="D257" t="s">
        <v>39</v>
      </c>
      <c r="E257" t="s">
        <v>51</v>
      </c>
      <c r="F257" s="1" t="d">
        <v>2024-07-16</v>
      </c>
      <c r="I257" t="str">
        <f>VLOOKUP(D257,Table3[#All],2,FALSE)</f>
        <v>S&amp;D</v>
      </c>
    </row>
    <row r="258" spans="1:9" x14ac:dyDescent="0.2">
      <c r="A258">
        <v>257299</v>
      </c>
      <c r="B258" t="s">
        <v>316</v>
      </c>
      <c r="C258" t="s">
        <v>69</v>
      </c>
      <c r="D258" t="s">
        <v>33</v>
      </c>
      <c r="E258" t="s">
        <v>11</v>
      </c>
      <c r="F258" s="1" t="d">
        <v>2024-07-16</v>
      </c>
      <c r="I258" t="str">
        <f>VLOOKUP(D258,Table3[#All],2,FALSE)</f>
        <v>The Left</v>
      </c>
    </row>
    <row r="259" spans="1:9" x14ac:dyDescent="0.2">
      <c r="A259">
        <v>197781</v>
      </c>
      <c r="B259" t="s">
        <v>317</v>
      </c>
      <c r="C259" t="s">
        <v>9</v>
      </c>
      <c r="D259" t="s">
        <v>46</v>
      </c>
      <c r="E259" t="s">
        <v>18</v>
      </c>
      <c r="F259" s="1" t="d">
        <v>2024-07-16</v>
      </c>
      <c r="I259" t="str">
        <f>VLOOKUP(D259,Table3[#All],2,FALSE)</f>
        <v>Renew Europe</v>
      </c>
    </row>
    <row r="260" spans="1:9" x14ac:dyDescent="0.2">
      <c r="A260">
        <v>124891</v>
      </c>
      <c r="B260" t="s">
        <v>318</v>
      </c>
      <c r="C260" t="s">
        <v>44</v>
      </c>
      <c r="D260" t="s">
        <v>80</v>
      </c>
      <c r="E260" t="s">
        <v>18</v>
      </c>
      <c r="F260" s="1" t="d">
        <v>2019-11-21</v>
      </c>
      <c r="G260" s="1" t="d">
        <v>2024-07-15</v>
      </c>
      <c r="I260" t="str">
        <f>VLOOKUP(D260,Table3[#All],2,FALSE)</f>
        <v>ECR</v>
      </c>
    </row>
    <row r="261" spans="1:9" x14ac:dyDescent="0.2">
      <c r="A261">
        <v>28586</v>
      </c>
      <c r="B261" t="s">
        <v>319</v>
      </c>
      <c r="C261" t="s">
        <v>48</v>
      </c>
      <c r="D261" t="s">
        <v>23</v>
      </c>
      <c r="E261" t="s">
        <v>11</v>
      </c>
      <c r="F261" s="1" t="d">
        <v>2020-12-18</v>
      </c>
      <c r="G261" s="1" t="d">
        <v>2024-07-15</v>
      </c>
      <c r="I261" t="str">
        <f>VLOOKUP(D261,Table3[#All],2,FALSE)</f>
        <v>The Left</v>
      </c>
    </row>
    <row r="262" spans="1:9" x14ac:dyDescent="0.2">
      <c r="A262">
        <v>257024</v>
      </c>
      <c r="B262" t="s">
        <v>320</v>
      </c>
      <c r="C262" t="s">
        <v>22</v>
      </c>
      <c r="D262" t="s">
        <v>10</v>
      </c>
      <c r="E262" t="s">
        <v>11</v>
      </c>
      <c r="F262" s="1" t="d">
        <v>2024-07-16</v>
      </c>
      <c r="I262" t="str">
        <f>VLOOKUP(D262,Table3[#All],2,FALSE)</f>
        <v>PfE</v>
      </c>
    </row>
    <row r="263" spans="1:9" x14ac:dyDescent="0.2">
      <c r="A263">
        <v>236053</v>
      </c>
      <c r="B263" t="s">
        <v>321</v>
      </c>
      <c r="C263" t="s">
        <v>58</v>
      </c>
      <c r="D263" t="s">
        <v>33</v>
      </c>
      <c r="E263" t="s">
        <v>18</v>
      </c>
      <c r="F263" s="1" t="d">
        <v>2024-07-18</v>
      </c>
      <c r="I263" t="str">
        <f>VLOOKUP(D263,Table3[#All],2,FALSE)</f>
        <v>The Left</v>
      </c>
    </row>
    <row r="264" spans="1:9" x14ac:dyDescent="0.2">
      <c r="A264">
        <v>197782</v>
      </c>
      <c r="B264" t="s">
        <v>322</v>
      </c>
      <c r="C264" t="s">
        <v>9</v>
      </c>
      <c r="D264" t="s">
        <v>39</v>
      </c>
      <c r="E264" t="s">
        <v>51</v>
      </c>
      <c r="F264" s="1" t="d">
        <v>2024-07-16</v>
      </c>
      <c r="I264" t="str">
        <f>VLOOKUP(D264,Table3[#All],2,FALSE)</f>
        <v>S&amp;D</v>
      </c>
    </row>
    <row r="265" spans="1:9" x14ac:dyDescent="0.2">
      <c r="A265">
        <v>204333</v>
      </c>
      <c r="B265" t="s">
        <v>323</v>
      </c>
      <c r="C265" t="s">
        <v>25</v>
      </c>
      <c r="D265" t="s">
        <v>14</v>
      </c>
      <c r="E265" t="s">
        <v>11</v>
      </c>
      <c r="F265" s="1" t="d">
        <v>2024-07-16</v>
      </c>
      <c r="I265" t="str">
        <f>VLOOKUP(D265,Table3[#All],2,FALSE)</f>
        <v>EPP</v>
      </c>
    </row>
    <row r="266" spans="1:9" x14ac:dyDescent="0.2">
      <c r="A266">
        <v>256924</v>
      </c>
      <c r="B266" t="s">
        <v>324</v>
      </c>
      <c r="C266" t="s">
        <v>58</v>
      </c>
      <c r="D266" t="s">
        <v>37</v>
      </c>
      <c r="E266" t="s">
        <v>51</v>
      </c>
      <c r="F266" s="1" t="d">
        <v>2024-07-16</v>
      </c>
      <c r="I266" t="str">
        <f>VLOOKUP(D266,Table3[#All],2,FALSE)</f>
        <v>ESN</v>
      </c>
    </row>
    <row r="267" spans="1:9" x14ac:dyDescent="0.2">
      <c r="A267">
        <v>256883</v>
      </c>
      <c r="B267" t="s">
        <v>325</v>
      </c>
      <c r="C267" t="s">
        <v>58</v>
      </c>
      <c r="D267" t="s">
        <v>10</v>
      </c>
      <c r="E267" t="s">
        <v>11</v>
      </c>
      <c r="F267" s="1" t="d">
        <v>2024-07-16</v>
      </c>
      <c r="I267" t="str">
        <f>VLOOKUP(D267,Table3[#All],2,FALSE)</f>
        <v>PfE</v>
      </c>
    </row>
    <row r="268" spans="1:9" x14ac:dyDescent="0.2">
      <c r="A268">
        <v>257068</v>
      </c>
      <c r="B268" t="s">
        <v>326</v>
      </c>
      <c r="C268" t="s">
        <v>53</v>
      </c>
      <c r="D268" t="s">
        <v>14</v>
      </c>
      <c r="E268" t="s">
        <v>11</v>
      </c>
      <c r="F268" s="1" t="d">
        <v>2024-07-16</v>
      </c>
      <c r="I268" t="str">
        <f>VLOOKUP(D268,Table3[#All],2,FALSE)</f>
        <v>EPP</v>
      </c>
    </row>
    <row r="269" spans="1:9" x14ac:dyDescent="0.2">
      <c r="A269">
        <v>28150</v>
      </c>
      <c r="B269" t="s">
        <v>327</v>
      </c>
      <c r="C269" t="s">
        <v>108</v>
      </c>
      <c r="D269" t="s">
        <v>10</v>
      </c>
      <c r="F269" s="1" t="d">
        <v>2024-07-16</v>
      </c>
      <c r="I269" t="str">
        <f>VLOOKUP(D269,Table3[#All],2,FALSE)</f>
        <v>PfE</v>
      </c>
    </row>
    <row r="270" spans="1:9" x14ac:dyDescent="0.2">
      <c r="A270">
        <v>257076</v>
      </c>
      <c r="B270" t="s">
        <v>328</v>
      </c>
      <c r="C270" t="s">
        <v>44</v>
      </c>
      <c r="D270" t="s">
        <v>17</v>
      </c>
      <c r="E270" t="s">
        <v>11</v>
      </c>
      <c r="F270" s="1" t="d">
        <v>2024-07-16</v>
      </c>
      <c r="I270" t="str">
        <f>VLOOKUP(D270,Table3[#All],2,FALSE)</f>
        <v>ECR</v>
      </c>
    </row>
    <row r="271" spans="1:9" x14ac:dyDescent="0.2">
      <c r="A271">
        <v>23788</v>
      </c>
      <c r="B271" t="s">
        <v>329</v>
      </c>
      <c r="C271" t="s">
        <v>44</v>
      </c>
      <c r="D271" t="s">
        <v>17</v>
      </c>
      <c r="E271" t="s">
        <v>18</v>
      </c>
      <c r="F271" s="1" t="d">
        <v>2024-07-16</v>
      </c>
      <c r="I271" t="str">
        <f>VLOOKUP(D271,Table3[#All],2,FALSE)</f>
        <v>ECR</v>
      </c>
    </row>
    <row r="272" spans="1:9" x14ac:dyDescent="0.2">
      <c r="A272">
        <v>257144</v>
      </c>
      <c r="B272" t="s">
        <v>330</v>
      </c>
      <c r="C272" t="s">
        <v>25</v>
      </c>
      <c r="D272" t="s">
        <v>17</v>
      </c>
      <c r="E272" t="s">
        <v>11</v>
      </c>
      <c r="F272" s="1" t="d">
        <v>2024-07-16</v>
      </c>
      <c r="I272" t="str">
        <f>VLOOKUP(D272,Table3[#All],2,FALSE)</f>
        <v>ECR</v>
      </c>
    </row>
    <row r="273" spans="1:9" x14ac:dyDescent="0.2">
      <c r="A273">
        <v>257045</v>
      </c>
      <c r="B273" t="s">
        <v>331</v>
      </c>
      <c r="C273" t="s">
        <v>44</v>
      </c>
      <c r="D273" t="s">
        <v>14</v>
      </c>
      <c r="E273" t="s">
        <v>11</v>
      </c>
      <c r="F273" s="1" t="d">
        <v>2024-07-16</v>
      </c>
      <c r="I273" t="str">
        <f>VLOOKUP(D273,Table3[#All],2,FALSE)</f>
        <v>EPP</v>
      </c>
    </row>
    <row r="274" spans="1:9" x14ac:dyDescent="0.2">
      <c r="A274">
        <v>256996</v>
      </c>
      <c r="B274" t="s">
        <v>332</v>
      </c>
      <c r="C274" t="s">
        <v>9</v>
      </c>
      <c r="D274" t="s">
        <v>10</v>
      </c>
      <c r="E274" t="s">
        <v>11</v>
      </c>
      <c r="F274" s="1" t="d">
        <v>2024-07-16</v>
      </c>
      <c r="I274" t="str">
        <f>VLOOKUP(D274,Table3[#All],2,FALSE)</f>
        <v>PfE</v>
      </c>
    </row>
    <row r="275" spans="1:9" x14ac:dyDescent="0.2">
      <c r="A275">
        <v>251324</v>
      </c>
      <c r="B275" t="s">
        <v>333</v>
      </c>
      <c r="C275" t="s">
        <v>44</v>
      </c>
      <c r="D275" t="s">
        <v>14</v>
      </c>
      <c r="E275" t="s">
        <v>11</v>
      </c>
      <c r="F275" s="1" t="d">
        <v>2024-07-16</v>
      </c>
      <c r="I275" t="str">
        <f>VLOOKUP(D275,Table3[#All],2,FALSE)</f>
        <v>EPP</v>
      </c>
    </row>
    <row r="276" spans="1:9" x14ac:dyDescent="0.2">
      <c r="A276">
        <v>202036</v>
      </c>
      <c r="B276" t="s">
        <v>334</v>
      </c>
      <c r="C276" t="s">
        <v>79</v>
      </c>
      <c r="D276" t="s">
        <v>14</v>
      </c>
      <c r="E276" t="s">
        <v>11</v>
      </c>
      <c r="F276" s="1" t="d">
        <v>2024-07-16</v>
      </c>
      <c r="I276" t="str">
        <f>VLOOKUP(D276,Table3[#All],2,FALSE)</f>
        <v>EPP</v>
      </c>
    </row>
    <row r="277" spans="1:9" x14ac:dyDescent="0.2">
      <c r="A277">
        <v>261797</v>
      </c>
      <c r="B277" t="s">
        <v>335</v>
      </c>
      <c r="C277" t="s">
        <v>58</v>
      </c>
      <c r="D277" t="s">
        <v>10</v>
      </c>
      <c r="E277" t="s">
        <v>11</v>
      </c>
      <c r="F277" s="1" t="d">
        <v>2024-09-27</v>
      </c>
      <c r="I277" t="str">
        <f>VLOOKUP(D277,Table3[#All],2,FALSE)</f>
        <v>PfE</v>
      </c>
    </row>
    <row r="278" spans="1:9" x14ac:dyDescent="0.2">
      <c r="A278">
        <v>244571</v>
      </c>
      <c r="B278" t="s">
        <v>336</v>
      </c>
      <c r="C278" t="s">
        <v>48</v>
      </c>
      <c r="D278" t="s">
        <v>39</v>
      </c>
      <c r="E278" t="s">
        <v>11</v>
      </c>
      <c r="F278" s="1" t="d">
        <v>2024-07-16</v>
      </c>
      <c r="I278" t="str">
        <f>VLOOKUP(D278,Table3[#All],2,FALSE)</f>
        <v>S&amp;D</v>
      </c>
    </row>
    <row r="279" spans="1:9" x14ac:dyDescent="0.2">
      <c r="A279">
        <v>197839</v>
      </c>
      <c r="B279" t="s">
        <v>337</v>
      </c>
      <c r="C279" t="s">
        <v>16</v>
      </c>
      <c r="D279" t="s">
        <v>14</v>
      </c>
      <c r="E279" t="s">
        <v>11</v>
      </c>
      <c r="F279" s="1" t="d">
        <v>2024-07-16</v>
      </c>
      <c r="I279" t="str">
        <f>VLOOKUP(D279,Table3[#All],2,FALSE)</f>
        <v>EPP</v>
      </c>
    </row>
    <row r="280" spans="1:9" x14ac:dyDescent="0.2">
      <c r="A280">
        <v>257052</v>
      </c>
      <c r="B280" t="s">
        <v>338</v>
      </c>
      <c r="C280" t="s">
        <v>44</v>
      </c>
      <c r="D280" t="s">
        <v>17</v>
      </c>
      <c r="E280" t="s">
        <v>11</v>
      </c>
      <c r="F280" s="1" t="d">
        <v>2024-07-16</v>
      </c>
      <c r="I280" t="str">
        <f>VLOOKUP(D280,Table3[#All],2,FALSE)</f>
        <v>ECR</v>
      </c>
    </row>
    <row r="281" spans="1:9" x14ac:dyDescent="0.2">
      <c r="A281">
        <v>256824</v>
      </c>
      <c r="B281" t="s">
        <v>339</v>
      </c>
      <c r="C281" t="s">
        <v>48</v>
      </c>
      <c r="D281" t="s">
        <v>39</v>
      </c>
      <c r="E281" t="s">
        <v>51</v>
      </c>
      <c r="F281" s="1" t="d">
        <v>2024-07-16</v>
      </c>
      <c r="I281" t="str">
        <f>VLOOKUP(D281,Table3[#All],2,FALSE)</f>
        <v>S&amp;D</v>
      </c>
    </row>
    <row r="282" spans="1:9" x14ac:dyDescent="0.2">
      <c r="A282">
        <v>96681</v>
      </c>
      <c r="B282" t="s">
        <v>340</v>
      </c>
      <c r="C282" t="s">
        <v>65</v>
      </c>
      <c r="D282" t="s">
        <v>39</v>
      </c>
      <c r="E282" t="s">
        <v>11</v>
      </c>
      <c r="F282" s="1" t="d">
        <v>2024-07-16</v>
      </c>
      <c r="I282" t="str">
        <f>VLOOKUP(D282,Table3[#All],2,FALSE)</f>
        <v>S&amp;D</v>
      </c>
    </row>
    <row r="283" spans="1:9" x14ac:dyDescent="0.2">
      <c r="A283">
        <v>28115</v>
      </c>
      <c r="B283" t="s">
        <v>341</v>
      </c>
      <c r="C283" t="s">
        <v>69</v>
      </c>
      <c r="D283" t="s">
        <v>29</v>
      </c>
      <c r="E283" t="s">
        <v>18</v>
      </c>
      <c r="F283" s="1" t="d">
        <v>2019-09-17</v>
      </c>
      <c r="G283" s="1" t="d">
        <v>2020-10-11</v>
      </c>
      <c r="I283" t="str">
        <f>VLOOKUP(D283,Table3[#All],2,FALSE)</f>
        <v>EPP</v>
      </c>
    </row>
    <row r="284" spans="1:9" x14ac:dyDescent="0.2">
      <c r="A284">
        <v>124873</v>
      </c>
      <c r="B284" t="s">
        <v>342</v>
      </c>
      <c r="C284" t="s">
        <v>16</v>
      </c>
      <c r="D284" t="s">
        <v>80</v>
      </c>
      <c r="E284" t="s">
        <v>343</v>
      </c>
      <c r="F284" s="1" t="d">
        <v>2019-07-02</v>
      </c>
      <c r="G284" s="1" t="d">
        <v>2024-07-15</v>
      </c>
      <c r="I284" t="str">
        <f>VLOOKUP(D284,Table3[#All],2,FALSE)</f>
        <v>ECR</v>
      </c>
    </row>
    <row r="285" spans="1:9" x14ac:dyDescent="0.2">
      <c r="A285">
        <v>257057</v>
      </c>
      <c r="B285" t="s">
        <v>344</v>
      </c>
      <c r="C285" t="s">
        <v>53</v>
      </c>
      <c r="D285" t="s">
        <v>46</v>
      </c>
      <c r="E285" t="s">
        <v>18</v>
      </c>
      <c r="F285" s="1" t="d">
        <v>2024-07-16</v>
      </c>
      <c r="I285" t="str">
        <f>VLOOKUP(D285,Table3[#All],2,FALSE)</f>
        <v>Renew Europe</v>
      </c>
    </row>
    <row r="286" spans="1:9" x14ac:dyDescent="0.2">
      <c r="A286">
        <v>220801</v>
      </c>
      <c r="B286" t="s">
        <v>345</v>
      </c>
      <c r="C286" t="s">
        <v>114</v>
      </c>
      <c r="D286" t="s">
        <v>46</v>
      </c>
      <c r="E286" t="s">
        <v>18</v>
      </c>
      <c r="F286" s="1" t="d">
        <v>2024-07-16</v>
      </c>
      <c r="I286" t="str">
        <f>VLOOKUP(D286,Table3[#All],2,FALSE)</f>
        <v>Renew Europe</v>
      </c>
    </row>
    <row r="287" spans="1:9" x14ac:dyDescent="0.2">
      <c r="A287">
        <v>197845</v>
      </c>
      <c r="B287" t="s">
        <v>346</v>
      </c>
      <c r="C287" t="s">
        <v>16</v>
      </c>
      <c r="D287" t="s">
        <v>39</v>
      </c>
      <c r="E287" t="s">
        <v>11</v>
      </c>
      <c r="F287" s="1" t="d">
        <v>2024-07-16</v>
      </c>
      <c r="I287" t="str">
        <f>VLOOKUP(D287,Table3[#All],2,FALSE)</f>
        <v>S&amp;D</v>
      </c>
    </row>
    <row r="288" spans="1:9" x14ac:dyDescent="0.2">
      <c r="A288">
        <v>204400</v>
      </c>
      <c r="B288" t="s">
        <v>347</v>
      </c>
      <c r="C288" t="s">
        <v>22</v>
      </c>
      <c r="D288" t="s">
        <v>14</v>
      </c>
      <c r="E288" t="s">
        <v>11</v>
      </c>
      <c r="F288" s="1" t="d">
        <v>2024-07-16</v>
      </c>
      <c r="I288" t="str">
        <f>VLOOKUP(D288,Table3[#All],2,FALSE)</f>
        <v>EPP</v>
      </c>
    </row>
    <row r="289" spans="1:9" x14ac:dyDescent="0.2">
      <c r="A289">
        <v>256851</v>
      </c>
      <c r="B289" t="s">
        <v>348</v>
      </c>
      <c r="C289" t="s">
        <v>41</v>
      </c>
      <c r="D289" t="s">
        <v>49</v>
      </c>
      <c r="E289" t="s">
        <v>11</v>
      </c>
      <c r="F289" s="1" t="d">
        <v>2024-07-16</v>
      </c>
      <c r="I289" t="str">
        <f>VLOOKUP(D289,Table3[#All],2,FALSE)</f>
        <v>Non-attached</v>
      </c>
    </row>
    <row r="290" spans="1:9" x14ac:dyDescent="0.2">
      <c r="A290">
        <v>197551</v>
      </c>
      <c r="B290" t="s">
        <v>349</v>
      </c>
      <c r="C290" t="s">
        <v>58</v>
      </c>
      <c r="D290" t="s">
        <v>207</v>
      </c>
      <c r="E290" t="s">
        <v>11</v>
      </c>
      <c r="F290" s="1" t="d">
        <v>2019-07-02</v>
      </c>
      <c r="G290" s="1" t="d">
        <v>2024-07-15</v>
      </c>
      <c r="I290" t="str">
        <f>VLOOKUP(D290,Table3[#All],2,FALSE)</f>
        <v>Renew Europe</v>
      </c>
    </row>
    <row r="291" spans="1:9" x14ac:dyDescent="0.2">
      <c r="A291">
        <v>256809</v>
      </c>
      <c r="B291" t="s">
        <v>350</v>
      </c>
      <c r="C291" t="s">
        <v>65</v>
      </c>
      <c r="D291" t="s">
        <v>14</v>
      </c>
      <c r="E291" t="s">
        <v>11</v>
      </c>
      <c r="F291" s="1" t="d">
        <v>2024-07-16</v>
      </c>
      <c r="I291" t="str">
        <f>VLOOKUP(D291,Table3[#All],2,FALSE)</f>
        <v>EPP</v>
      </c>
    </row>
    <row r="292" spans="1:9" x14ac:dyDescent="0.2">
      <c r="A292">
        <v>257056</v>
      </c>
      <c r="B292" t="s">
        <v>351</v>
      </c>
      <c r="C292" t="s">
        <v>44</v>
      </c>
      <c r="D292" t="s">
        <v>17</v>
      </c>
      <c r="E292" t="s">
        <v>11</v>
      </c>
      <c r="F292" s="1" t="d">
        <v>2024-07-16</v>
      </c>
      <c r="I292" t="str">
        <f>VLOOKUP(D292,Table3[#All],2,FALSE)</f>
        <v>ECR</v>
      </c>
    </row>
    <row r="293" spans="1:9" x14ac:dyDescent="0.2">
      <c r="A293">
        <v>197426</v>
      </c>
      <c r="B293" t="s">
        <v>352</v>
      </c>
      <c r="C293" t="s">
        <v>13</v>
      </c>
      <c r="D293" t="s">
        <v>14</v>
      </c>
      <c r="E293" t="s">
        <v>11</v>
      </c>
      <c r="F293" s="1" t="d">
        <v>2024-07-16</v>
      </c>
      <c r="I293" t="str">
        <f>VLOOKUP(D293,Table3[#All],2,FALSE)</f>
        <v>EPP</v>
      </c>
    </row>
    <row r="294" spans="1:9" x14ac:dyDescent="0.2">
      <c r="A294">
        <v>214839</v>
      </c>
      <c r="B294" t="s">
        <v>353</v>
      </c>
      <c r="C294" t="s">
        <v>71</v>
      </c>
      <c r="D294" t="s">
        <v>46</v>
      </c>
      <c r="E294" t="s">
        <v>18</v>
      </c>
      <c r="F294" s="1" t="d">
        <v>2024-07-16</v>
      </c>
      <c r="I294" t="str">
        <f>VLOOKUP(D294,Table3[#All],2,FALSE)</f>
        <v>Renew Europe</v>
      </c>
    </row>
    <row r="295" spans="1:9" x14ac:dyDescent="0.2">
      <c r="A295">
        <v>124934</v>
      </c>
      <c r="B295" t="s">
        <v>354</v>
      </c>
      <c r="C295" t="s">
        <v>27</v>
      </c>
      <c r="D295" t="s">
        <v>158</v>
      </c>
      <c r="E295" t="s">
        <v>11</v>
      </c>
      <c r="F295" s="1" t="d">
        <v>2019-07-02</v>
      </c>
      <c r="G295" s="1" t="d">
        <v>2024-07-15</v>
      </c>
      <c r="I295" t="str">
        <f>VLOOKUP(D295,Table3[#All],2,FALSE)</f>
        <v>Greens/EFA</v>
      </c>
    </row>
    <row r="296" spans="1:9" x14ac:dyDescent="0.2">
      <c r="A296">
        <v>257096</v>
      </c>
      <c r="B296" t="s">
        <v>355</v>
      </c>
      <c r="C296" t="s">
        <v>25</v>
      </c>
      <c r="D296" t="s">
        <v>17</v>
      </c>
      <c r="E296" t="s">
        <v>11</v>
      </c>
      <c r="F296" s="1" t="d">
        <v>2024-07-16</v>
      </c>
      <c r="I296" t="str">
        <f>VLOOKUP(D296,Table3[#All],2,FALSE)</f>
        <v>ECR</v>
      </c>
    </row>
    <row r="297" spans="1:9" x14ac:dyDescent="0.2">
      <c r="A297">
        <v>197607</v>
      </c>
      <c r="B297" t="s">
        <v>356</v>
      </c>
      <c r="C297" t="s">
        <v>25</v>
      </c>
      <c r="D297" t="s">
        <v>17</v>
      </c>
      <c r="E297" t="s">
        <v>11</v>
      </c>
      <c r="F297" s="1" t="d">
        <v>2024-07-16</v>
      </c>
      <c r="I297" t="str">
        <f>VLOOKUP(D297,Table3[#All],2,FALSE)</f>
        <v>ECR</v>
      </c>
    </row>
    <row r="298" spans="1:9" x14ac:dyDescent="0.2">
      <c r="A298">
        <v>256950</v>
      </c>
      <c r="B298" t="s">
        <v>357</v>
      </c>
      <c r="C298" t="s">
        <v>48</v>
      </c>
      <c r="D298" t="s">
        <v>14</v>
      </c>
      <c r="E298" t="s">
        <v>11</v>
      </c>
      <c r="F298" s="1" t="d">
        <v>2024-07-16</v>
      </c>
      <c r="I298" t="str">
        <f>VLOOKUP(D298,Table3[#All],2,FALSE)</f>
        <v>EPP</v>
      </c>
    </row>
    <row r="299" spans="1:9" x14ac:dyDescent="0.2">
      <c r="A299">
        <v>111412</v>
      </c>
      <c r="B299" t="s">
        <v>358</v>
      </c>
      <c r="C299" t="s">
        <v>131</v>
      </c>
      <c r="D299" t="s">
        <v>20</v>
      </c>
      <c r="E299" t="s">
        <v>11</v>
      </c>
      <c r="F299" s="1" t="d">
        <v>2024-07-16</v>
      </c>
      <c r="I299" t="str">
        <f>VLOOKUP(D299,Table3[#All],2,FALSE)</f>
        <v>Greens/EFA</v>
      </c>
    </row>
    <row r="300" spans="1:9" x14ac:dyDescent="0.2">
      <c r="A300">
        <v>96675</v>
      </c>
      <c r="B300" t="s">
        <v>359</v>
      </c>
      <c r="C300" t="s">
        <v>71</v>
      </c>
      <c r="D300" t="s">
        <v>20</v>
      </c>
      <c r="E300" t="s">
        <v>11</v>
      </c>
      <c r="F300" s="1" t="d">
        <v>2024-07-16</v>
      </c>
      <c r="I300" t="str">
        <f>VLOOKUP(D300,Table3[#All],2,FALSE)</f>
        <v>Greens/EFA</v>
      </c>
    </row>
    <row r="301" spans="1:9" x14ac:dyDescent="0.2">
      <c r="A301">
        <v>197645</v>
      </c>
      <c r="B301" t="s">
        <v>360</v>
      </c>
      <c r="C301" t="s">
        <v>53</v>
      </c>
      <c r="D301" t="s">
        <v>158</v>
      </c>
      <c r="E301" t="s">
        <v>11</v>
      </c>
      <c r="F301" s="1" t="d">
        <v>2019-07-02</v>
      </c>
      <c r="G301" s="1" t="d">
        <v>2024-07-15</v>
      </c>
      <c r="I301" t="str">
        <f>VLOOKUP(D301,Table3[#All],2,FALSE)</f>
        <v>Greens/EFA</v>
      </c>
    </row>
    <row r="302" spans="1:9" x14ac:dyDescent="0.2">
      <c r="A302">
        <v>257095</v>
      </c>
      <c r="B302" t="s">
        <v>361</v>
      </c>
      <c r="C302" t="s">
        <v>25</v>
      </c>
      <c r="D302" t="s">
        <v>17</v>
      </c>
      <c r="E302" t="s">
        <v>11</v>
      </c>
      <c r="F302" s="1" t="d">
        <v>2024-07-16</v>
      </c>
      <c r="I302" t="str">
        <f>VLOOKUP(D302,Table3[#All],2,FALSE)</f>
        <v>ECR</v>
      </c>
    </row>
    <row r="303" spans="1:9" x14ac:dyDescent="0.2">
      <c r="A303">
        <v>28419</v>
      </c>
      <c r="B303" t="s">
        <v>362</v>
      </c>
      <c r="C303" t="s">
        <v>25</v>
      </c>
      <c r="D303" t="s">
        <v>39</v>
      </c>
      <c r="E303" t="s">
        <v>11</v>
      </c>
      <c r="F303" s="1" t="d">
        <v>2024-07-16</v>
      </c>
      <c r="I303" t="str">
        <f>VLOOKUP(D303,Table3[#All],2,FALSE)</f>
        <v>S&amp;D</v>
      </c>
    </row>
    <row r="304" spans="1:9" x14ac:dyDescent="0.2">
      <c r="A304">
        <v>256899</v>
      </c>
      <c r="B304" t="s">
        <v>363</v>
      </c>
      <c r="C304" t="s">
        <v>58</v>
      </c>
      <c r="D304" t="s">
        <v>39</v>
      </c>
      <c r="E304" t="s">
        <v>11</v>
      </c>
      <c r="F304" s="1" t="d">
        <v>2024-07-16</v>
      </c>
      <c r="I304" t="str">
        <f>VLOOKUP(D304,Table3[#All],2,FALSE)</f>
        <v>S&amp;D</v>
      </c>
    </row>
    <row r="305" spans="1:9" x14ac:dyDescent="0.2">
      <c r="A305">
        <v>197624</v>
      </c>
      <c r="B305" t="s">
        <v>364</v>
      </c>
      <c r="C305" t="s">
        <v>61</v>
      </c>
      <c r="D305" t="s">
        <v>46</v>
      </c>
      <c r="E305" t="s">
        <v>18</v>
      </c>
      <c r="F305" s="1" t="d">
        <v>2024-07-16</v>
      </c>
      <c r="I305" t="str">
        <f>VLOOKUP(D305,Table3[#All],2,FALSE)</f>
        <v>Renew Europe</v>
      </c>
    </row>
    <row r="306" spans="1:9" x14ac:dyDescent="0.2">
      <c r="A306">
        <v>103381</v>
      </c>
      <c r="B306" t="s">
        <v>365</v>
      </c>
      <c r="C306" t="s">
        <v>13</v>
      </c>
      <c r="D306" t="s">
        <v>20</v>
      </c>
      <c r="E306" t="s">
        <v>160</v>
      </c>
      <c r="F306" s="1" t="d">
        <v>2024-07-16</v>
      </c>
      <c r="I306" t="str">
        <f>VLOOKUP(D306,Table3[#All],2,FALSE)</f>
        <v>Greens/EFA</v>
      </c>
    </row>
    <row r="307" spans="1:9" x14ac:dyDescent="0.2">
      <c r="A307">
        <v>197843</v>
      </c>
      <c r="B307" t="s">
        <v>366</v>
      </c>
      <c r="C307" t="s">
        <v>65</v>
      </c>
      <c r="D307" t="s">
        <v>14</v>
      </c>
      <c r="E307" t="s">
        <v>11</v>
      </c>
      <c r="F307" s="1" t="d">
        <v>2024-07-16</v>
      </c>
      <c r="G307" s="1" t="d">
        <v>2024-11-30</v>
      </c>
      <c r="I307" t="str">
        <f>VLOOKUP(D307,Table3[#All],2,FALSE)</f>
        <v>EPP</v>
      </c>
    </row>
    <row r="308" spans="1:9" x14ac:dyDescent="0.2">
      <c r="A308">
        <v>197400</v>
      </c>
      <c r="B308" t="s">
        <v>367</v>
      </c>
      <c r="C308" t="s">
        <v>71</v>
      </c>
      <c r="D308" t="s">
        <v>46</v>
      </c>
      <c r="E308" t="s">
        <v>11</v>
      </c>
      <c r="F308" s="1" t="d">
        <v>2024-07-16</v>
      </c>
      <c r="I308" t="str">
        <f>VLOOKUP(D308,Table3[#All],2,FALSE)</f>
        <v>Renew Europe</v>
      </c>
    </row>
    <row r="309" spans="1:9" x14ac:dyDescent="0.2">
      <c r="A309">
        <v>257260</v>
      </c>
      <c r="B309" t="s">
        <v>368</v>
      </c>
      <c r="C309" t="s">
        <v>16</v>
      </c>
      <c r="D309" t="s">
        <v>37</v>
      </c>
      <c r="E309" t="s">
        <v>11</v>
      </c>
      <c r="F309" s="1" t="d">
        <v>2024-07-16</v>
      </c>
      <c r="I309" t="str">
        <f>VLOOKUP(D309,Table3[#All],2,FALSE)</f>
        <v>ESN</v>
      </c>
    </row>
    <row r="310" spans="1:9" x14ac:dyDescent="0.2">
      <c r="A310">
        <v>197573</v>
      </c>
      <c r="B310" t="s">
        <v>369</v>
      </c>
      <c r="C310" t="s">
        <v>131</v>
      </c>
      <c r="D310" t="s">
        <v>20</v>
      </c>
      <c r="E310" t="s">
        <v>370</v>
      </c>
      <c r="F310" s="1" t="d">
        <v>2024-11-13</v>
      </c>
      <c r="I310" t="str">
        <f>VLOOKUP(D310,Table3[#All],2,FALSE)</f>
        <v>Greens/EFA</v>
      </c>
    </row>
    <row r="311" spans="1:9" x14ac:dyDescent="0.2">
      <c r="A311">
        <v>257050</v>
      </c>
      <c r="B311" t="s">
        <v>371</v>
      </c>
      <c r="C311" t="s">
        <v>53</v>
      </c>
      <c r="D311" t="s">
        <v>10</v>
      </c>
      <c r="E311" t="s">
        <v>51</v>
      </c>
      <c r="F311" s="1" t="d">
        <v>2024-07-16</v>
      </c>
      <c r="I311" t="str">
        <f>VLOOKUP(D311,Table3[#All],2,FALSE)</f>
        <v>PfE</v>
      </c>
    </row>
    <row r="312" spans="1:9" x14ac:dyDescent="0.2">
      <c r="A312">
        <v>124936</v>
      </c>
      <c r="B312" t="s">
        <v>372</v>
      </c>
      <c r="C312" t="s">
        <v>114</v>
      </c>
      <c r="D312" t="s">
        <v>180</v>
      </c>
      <c r="E312" t="s">
        <v>11</v>
      </c>
      <c r="F312" s="1" t="d">
        <v>2019-07-02</v>
      </c>
      <c r="G312" s="1" t="d">
        <v>2024-07-15</v>
      </c>
      <c r="I312" t="str">
        <f>VLOOKUP(D312,Table3[#All],2,FALSE)</f>
        <v>S&amp;D</v>
      </c>
    </row>
    <row r="313" spans="1:9" x14ac:dyDescent="0.2">
      <c r="A313">
        <v>257029</v>
      </c>
      <c r="B313" t="s">
        <v>373</v>
      </c>
      <c r="C313" t="s">
        <v>22</v>
      </c>
      <c r="D313" t="s">
        <v>10</v>
      </c>
      <c r="E313" t="s">
        <v>11</v>
      </c>
      <c r="F313" s="1" t="d">
        <v>2024-07-16</v>
      </c>
      <c r="I313" t="str">
        <f>VLOOKUP(D313,Table3[#All],2,FALSE)</f>
        <v>PfE</v>
      </c>
    </row>
    <row r="314" spans="1:9" x14ac:dyDescent="0.2">
      <c r="A314">
        <v>257091</v>
      </c>
      <c r="B314" t="s">
        <v>374</v>
      </c>
      <c r="C314" t="s">
        <v>71</v>
      </c>
      <c r="D314" t="s">
        <v>17</v>
      </c>
      <c r="E314" t="s">
        <v>11</v>
      </c>
      <c r="F314" s="1" t="d">
        <v>2024-07-16</v>
      </c>
      <c r="I314" t="str">
        <f>VLOOKUP(D314,Table3[#All],2,FALSE)</f>
        <v>ECR</v>
      </c>
    </row>
    <row r="315" spans="1:9" x14ac:dyDescent="0.2">
      <c r="A315">
        <v>257122</v>
      </c>
      <c r="B315" t="s">
        <v>375</v>
      </c>
      <c r="C315" t="s">
        <v>25</v>
      </c>
      <c r="D315" t="s">
        <v>39</v>
      </c>
      <c r="E315" t="s">
        <v>11</v>
      </c>
      <c r="F315" s="1" t="d">
        <v>2024-07-16</v>
      </c>
      <c r="G315" s="1" t="d">
        <v>2026-02-01</v>
      </c>
      <c r="I315" t="str">
        <f>VLOOKUP(D315,Table3[#All],2,FALSE)</f>
        <v>S&amp;D</v>
      </c>
    </row>
    <row r="316" spans="1:9" x14ac:dyDescent="0.2">
      <c r="A316">
        <v>256895</v>
      </c>
      <c r="B316" t="s">
        <v>376</v>
      </c>
      <c r="C316" t="s">
        <v>58</v>
      </c>
      <c r="D316" t="s">
        <v>10</v>
      </c>
      <c r="E316" t="s">
        <v>11</v>
      </c>
      <c r="F316" s="1" t="d">
        <v>2024-07-16</v>
      </c>
      <c r="I316" t="str">
        <f>VLOOKUP(D316,Table3[#All],2,FALSE)</f>
        <v>PfE</v>
      </c>
    </row>
    <row r="317" spans="1:9" x14ac:dyDescent="0.2">
      <c r="A317">
        <v>256839</v>
      </c>
      <c r="B317" t="s">
        <v>377</v>
      </c>
      <c r="C317" t="s">
        <v>27</v>
      </c>
      <c r="D317" t="s">
        <v>46</v>
      </c>
      <c r="E317" t="s">
        <v>11</v>
      </c>
      <c r="F317" s="1" t="d">
        <v>2024-07-16</v>
      </c>
      <c r="I317" t="str">
        <f>VLOOKUP(D317,Table3[#All],2,FALSE)</f>
        <v>Renew Europe</v>
      </c>
    </row>
    <row r="318" spans="1:9" x14ac:dyDescent="0.2">
      <c r="A318">
        <v>136236</v>
      </c>
      <c r="B318" t="s">
        <v>378</v>
      </c>
      <c r="C318" t="s">
        <v>53</v>
      </c>
      <c r="D318" t="s">
        <v>23</v>
      </c>
      <c r="E318" t="s">
        <v>11</v>
      </c>
      <c r="F318" s="1" t="d">
        <v>2021-07-06</v>
      </c>
      <c r="G318" s="1" t="d">
        <v>2024-07-15</v>
      </c>
      <c r="I318" t="str">
        <f>VLOOKUP(D318,Table3[#All],2,FALSE)</f>
        <v>The Left</v>
      </c>
    </row>
    <row r="319" spans="1:9" x14ac:dyDescent="0.2">
      <c r="A319">
        <v>256811</v>
      </c>
      <c r="B319" t="s">
        <v>379</v>
      </c>
      <c r="C319" t="s">
        <v>65</v>
      </c>
      <c r="D319" t="s">
        <v>17</v>
      </c>
      <c r="E319" t="s">
        <v>11</v>
      </c>
      <c r="F319" s="1" t="d">
        <v>2024-07-16</v>
      </c>
      <c r="I319" t="str">
        <f>VLOOKUP(D319,Table3[#All],2,FALSE)</f>
        <v>ECR</v>
      </c>
    </row>
    <row r="320" spans="1:9" x14ac:dyDescent="0.2">
      <c r="A320">
        <v>256841</v>
      </c>
      <c r="B320" t="s">
        <v>380</v>
      </c>
      <c r="C320" t="s">
        <v>27</v>
      </c>
      <c r="D320" t="s">
        <v>46</v>
      </c>
      <c r="E320" t="s">
        <v>18</v>
      </c>
      <c r="F320" s="1" t="d">
        <v>2024-07-16</v>
      </c>
      <c r="I320" t="str">
        <f>VLOOKUP(D320,Table3[#All],2,FALSE)</f>
        <v>Renew Europe</v>
      </c>
    </row>
    <row r="321" spans="1:9" x14ac:dyDescent="0.2">
      <c r="A321">
        <v>257104</v>
      </c>
      <c r="B321" t="s">
        <v>381</v>
      </c>
      <c r="C321" t="s">
        <v>25</v>
      </c>
      <c r="D321" t="s">
        <v>17</v>
      </c>
      <c r="E321" t="s">
        <v>11</v>
      </c>
      <c r="F321" s="1" t="d">
        <v>2024-07-16</v>
      </c>
      <c r="I321" t="str">
        <f>VLOOKUP(D321,Table3[#All],2,FALSE)</f>
        <v>ECR</v>
      </c>
    </row>
    <row r="322" spans="1:9" x14ac:dyDescent="0.2">
      <c r="A322">
        <v>257135</v>
      </c>
      <c r="B322" t="s">
        <v>382</v>
      </c>
      <c r="C322" t="s">
        <v>25</v>
      </c>
      <c r="D322" t="s">
        <v>33</v>
      </c>
      <c r="E322" t="s">
        <v>11</v>
      </c>
      <c r="F322" s="1" t="d">
        <v>2024-07-16</v>
      </c>
      <c r="I322" t="str">
        <f>VLOOKUP(D322,Table3[#All],2,FALSE)</f>
        <v>The Left</v>
      </c>
    </row>
    <row r="323" spans="1:9" x14ac:dyDescent="0.2">
      <c r="A323">
        <v>260035</v>
      </c>
      <c r="B323" t="s">
        <v>383</v>
      </c>
      <c r="C323" t="s">
        <v>79</v>
      </c>
      <c r="D323" t="s">
        <v>39</v>
      </c>
      <c r="E323" t="s">
        <v>11</v>
      </c>
      <c r="F323" s="1" t="d">
        <v>2024-09-05</v>
      </c>
      <c r="I323" t="str">
        <f>VLOOKUP(D323,Table3[#All],2,FALSE)</f>
        <v>S&amp;D</v>
      </c>
    </row>
    <row r="324" spans="1:9" x14ac:dyDescent="0.2">
      <c r="A324">
        <v>197394</v>
      </c>
      <c r="B324" t="s">
        <v>384</v>
      </c>
      <c r="C324" t="s">
        <v>73</v>
      </c>
      <c r="D324" t="s">
        <v>180</v>
      </c>
      <c r="E324" t="s">
        <v>11</v>
      </c>
      <c r="F324" s="1" t="d">
        <v>2019-07-02</v>
      </c>
      <c r="G324" s="1" t="d">
        <v>2024-07-15</v>
      </c>
      <c r="I324" t="str">
        <f>VLOOKUP(D324,Table3[#All],2,FALSE)</f>
        <v>S&amp;D</v>
      </c>
    </row>
    <row r="325" spans="1:9" x14ac:dyDescent="0.2">
      <c r="A325">
        <v>257079</v>
      </c>
      <c r="B325" t="s">
        <v>385</v>
      </c>
      <c r="C325" t="s">
        <v>53</v>
      </c>
      <c r="D325" t="s">
        <v>39</v>
      </c>
      <c r="E325" t="s">
        <v>11</v>
      </c>
      <c r="F325" s="1" t="d">
        <v>2024-07-16</v>
      </c>
      <c r="I325" t="str">
        <f>VLOOKUP(D325,Table3[#All],2,FALSE)</f>
        <v>S&amp;D</v>
      </c>
    </row>
    <row r="326" spans="1:9" x14ac:dyDescent="0.2">
      <c r="A326">
        <v>197413</v>
      </c>
      <c r="B326" t="s">
        <v>386</v>
      </c>
      <c r="C326" t="s">
        <v>79</v>
      </c>
      <c r="D326" t="s">
        <v>14</v>
      </c>
      <c r="E326" t="s">
        <v>11</v>
      </c>
      <c r="F326" s="1" t="d">
        <v>2024-07-16</v>
      </c>
      <c r="I326" t="str">
        <f>VLOOKUP(D326,Table3[#All],2,FALSE)</f>
        <v>EPP</v>
      </c>
    </row>
    <row r="327" spans="1:9" x14ac:dyDescent="0.2">
      <c r="A327">
        <v>204413</v>
      </c>
      <c r="B327" t="s">
        <v>387</v>
      </c>
      <c r="C327" t="s">
        <v>22</v>
      </c>
      <c r="D327" t="s">
        <v>39</v>
      </c>
      <c r="E327" t="s">
        <v>11</v>
      </c>
      <c r="F327" s="1" t="d">
        <v>2024-07-16</v>
      </c>
      <c r="I327" t="str">
        <f>VLOOKUP(D327,Table3[#All],2,FALSE)</f>
        <v>S&amp;D</v>
      </c>
    </row>
    <row r="328" spans="1:9" x14ac:dyDescent="0.2">
      <c r="A328">
        <v>256808</v>
      </c>
      <c r="B328" t="s">
        <v>388</v>
      </c>
      <c r="C328" t="s">
        <v>65</v>
      </c>
      <c r="D328" t="s">
        <v>37</v>
      </c>
      <c r="E328" t="s">
        <v>11</v>
      </c>
      <c r="F328" s="1" t="d">
        <v>2024-07-16</v>
      </c>
      <c r="I328" t="str">
        <f>VLOOKUP(D328,Table3[#All],2,FALSE)</f>
        <v>ESN</v>
      </c>
    </row>
    <row r="329" spans="1:9" x14ac:dyDescent="0.2">
      <c r="A329">
        <v>257237</v>
      </c>
      <c r="B329" t="s">
        <v>389</v>
      </c>
      <c r="C329" t="s">
        <v>69</v>
      </c>
      <c r="D329" t="s">
        <v>14</v>
      </c>
      <c r="E329" t="s">
        <v>11</v>
      </c>
      <c r="F329" s="1" t="d">
        <v>2024-07-16</v>
      </c>
      <c r="I329" t="str">
        <f>VLOOKUP(D329,Table3[#All],2,FALSE)</f>
        <v>EPP</v>
      </c>
    </row>
    <row r="330" spans="1:9" x14ac:dyDescent="0.2">
      <c r="A330">
        <v>198073</v>
      </c>
      <c r="B330" t="s">
        <v>390</v>
      </c>
      <c r="C330" t="s">
        <v>96</v>
      </c>
      <c r="D330" t="s">
        <v>46</v>
      </c>
      <c r="E330" t="s">
        <v>18</v>
      </c>
      <c r="F330" s="1" t="d">
        <v>2024-07-16</v>
      </c>
      <c r="I330" t="str">
        <f>VLOOKUP(D330,Table3[#All],2,FALSE)</f>
        <v>Renew Europe</v>
      </c>
    </row>
    <row r="331" spans="1:9" x14ac:dyDescent="0.2">
      <c r="A331">
        <v>110673</v>
      </c>
      <c r="B331" t="s">
        <v>391</v>
      </c>
      <c r="C331" t="s">
        <v>53</v>
      </c>
      <c r="D331" t="s">
        <v>14</v>
      </c>
      <c r="E331" t="s">
        <v>11</v>
      </c>
      <c r="F331" s="1" t="d">
        <v>2024-07-16</v>
      </c>
      <c r="I331" t="str">
        <f>VLOOKUP(D331,Table3[#All],2,FALSE)</f>
        <v>EPP</v>
      </c>
    </row>
    <row r="332" spans="1:9" x14ac:dyDescent="0.2">
      <c r="A332">
        <v>256857</v>
      </c>
      <c r="B332" t="s">
        <v>392</v>
      </c>
      <c r="C332" t="s">
        <v>108</v>
      </c>
      <c r="D332" t="s">
        <v>10</v>
      </c>
      <c r="E332" t="s">
        <v>11</v>
      </c>
      <c r="F332" s="1" t="d">
        <v>2024-07-16</v>
      </c>
      <c r="I332" t="str">
        <f>VLOOKUP(D332,Table3[#All],2,FALSE)</f>
        <v>PfE</v>
      </c>
    </row>
    <row r="333" spans="1:9" x14ac:dyDescent="0.2">
      <c r="A333">
        <v>197578</v>
      </c>
      <c r="B333" t="s">
        <v>393</v>
      </c>
      <c r="C333" t="s">
        <v>25</v>
      </c>
      <c r="D333" t="s">
        <v>10</v>
      </c>
      <c r="E333" t="s">
        <v>11</v>
      </c>
      <c r="F333" s="1" t="d">
        <v>2024-07-16</v>
      </c>
      <c r="I333" t="str">
        <f>VLOOKUP(D333,Table3[#All],2,FALSE)</f>
        <v>PfE</v>
      </c>
    </row>
    <row r="334" spans="1:9" x14ac:dyDescent="0.2">
      <c r="A334">
        <v>2341</v>
      </c>
      <c r="B334" t="s">
        <v>394</v>
      </c>
      <c r="C334" t="s">
        <v>13</v>
      </c>
      <c r="D334" t="s">
        <v>14</v>
      </c>
      <c r="E334" t="s">
        <v>11</v>
      </c>
      <c r="F334" s="1" t="d">
        <v>2024-07-16</v>
      </c>
      <c r="I334" t="str">
        <f>VLOOKUP(D334,Table3[#All],2,FALSE)</f>
        <v>EPP</v>
      </c>
    </row>
    <row r="335" spans="1:9" x14ac:dyDescent="0.2">
      <c r="A335">
        <v>119434</v>
      </c>
      <c r="B335" t="s">
        <v>395</v>
      </c>
      <c r="C335" t="s">
        <v>79</v>
      </c>
      <c r="D335" t="s">
        <v>29</v>
      </c>
      <c r="E335" t="s">
        <v>396</v>
      </c>
      <c r="F335" s="1" t="d">
        <v>2019-07-02</v>
      </c>
      <c r="G335" s="1" t="d">
        <v>2019-11-30</v>
      </c>
      <c r="I335" t="str">
        <f>VLOOKUP(D335,Table3[#All],2,FALSE)</f>
        <v>EPP</v>
      </c>
    </row>
    <row r="336" spans="1:9" x14ac:dyDescent="0.2">
      <c r="A336">
        <v>257022</v>
      </c>
      <c r="B336" t="s">
        <v>397</v>
      </c>
      <c r="C336" t="s">
        <v>22</v>
      </c>
      <c r="D336" t="s">
        <v>17</v>
      </c>
      <c r="E336" t="s">
        <v>11</v>
      </c>
      <c r="F336" s="1" t="d">
        <v>2024-12-18</v>
      </c>
      <c r="I336" t="str">
        <f>VLOOKUP(D336,Table3[#All],2,FALSE)</f>
        <v>ECR</v>
      </c>
    </row>
    <row r="337" spans="1:9" x14ac:dyDescent="0.2">
      <c r="A337">
        <v>239260</v>
      </c>
      <c r="B337" t="s">
        <v>398</v>
      </c>
      <c r="C337" t="s">
        <v>25</v>
      </c>
      <c r="D337" t="s">
        <v>17</v>
      </c>
      <c r="E337" t="s">
        <v>343</v>
      </c>
      <c r="F337" s="1" t="d">
        <v>2024-07-16</v>
      </c>
      <c r="I337" t="str">
        <f>VLOOKUP(D337,Table3[#All],2,FALSE)</f>
        <v>ECR</v>
      </c>
    </row>
    <row r="338" spans="1:9" x14ac:dyDescent="0.2">
      <c r="A338">
        <v>257093</v>
      </c>
      <c r="B338" t="s">
        <v>399</v>
      </c>
      <c r="C338" t="s">
        <v>25</v>
      </c>
      <c r="D338" t="s">
        <v>17</v>
      </c>
      <c r="E338" t="s">
        <v>11</v>
      </c>
      <c r="F338" s="1" t="d">
        <v>2024-07-16</v>
      </c>
      <c r="I338" t="str">
        <f>VLOOKUP(D338,Table3[#All],2,FALSE)</f>
        <v>ECR</v>
      </c>
    </row>
    <row r="339" spans="1:9" x14ac:dyDescent="0.2">
      <c r="A339">
        <v>125068</v>
      </c>
      <c r="B339" t="s">
        <v>400</v>
      </c>
      <c r="C339" t="s">
        <v>48</v>
      </c>
      <c r="D339" t="s">
        <v>14</v>
      </c>
      <c r="E339" t="s">
        <v>11</v>
      </c>
      <c r="F339" s="1" t="d">
        <v>2024-07-16</v>
      </c>
      <c r="I339" t="str">
        <f>VLOOKUP(D339,Table3[#All],2,FALSE)</f>
        <v>EPP</v>
      </c>
    </row>
    <row r="340" spans="1:9" x14ac:dyDescent="0.2">
      <c r="A340">
        <v>197820</v>
      </c>
      <c r="B340" t="s">
        <v>401</v>
      </c>
      <c r="C340" t="s">
        <v>25</v>
      </c>
      <c r="D340" t="s">
        <v>17</v>
      </c>
      <c r="E340" t="s">
        <v>160</v>
      </c>
      <c r="F340" s="1" t="d">
        <v>2024-07-16</v>
      </c>
      <c r="I340" t="str">
        <f>VLOOKUP(D340,Table3[#All],2,FALSE)</f>
        <v>ECR</v>
      </c>
    </row>
    <row r="341" spans="1:9" x14ac:dyDescent="0.2">
      <c r="A341">
        <v>197523</v>
      </c>
      <c r="B341" t="s">
        <v>402</v>
      </c>
      <c r="C341" t="s">
        <v>44</v>
      </c>
      <c r="D341" t="s">
        <v>14</v>
      </c>
      <c r="E341" t="s">
        <v>11</v>
      </c>
      <c r="F341" s="1" t="d">
        <v>2024-07-16</v>
      </c>
      <c r="I341" t="str">
        <f>VLOOKUP(D341,Table3[#All],2,FALSE)</f>
        <v>EPP</v>
      </c>
    </row>
    <row r="342" spans="1:9" x14ac:dyDescent="0.2">
      <c r="A342">
        <v>256952</v>
      </c>
      <c r="B342" t="s">
        <v>403</v>
      </c>
      <c r="C342" t="s">
        <v>48</v>
      </c>
      <c r="D342" t="s">
        <v>33</v>
      </c>
      <c r="E342" t="s">
        <v>11</v>
      </c>
      <c r="F342" s="1" t="d">
        <v>2024-07-16</v>
      </c>
      <c r="I342" t="str">
        <f>VLOOKUP(D342,Table3[#All],2,FALSE)</f>
        <v>The Left</v>
      </c>
    </row>
    <row r="343" spans="1:9" x14ac:dyDescent="0.2">
      <c r="A343">
        <v>238639</v>
      </c>
      <c r="B343" t="s">
        <v>404</v>
      </c>
      <c r="C343" t="s">
        <v>71</v>
      </c>
      <c r="D343" t="s">
        <v>80</v>
      </c>
      <c r="E343" t="s">
        <v>11</v>
      </c>
      <c r="F343" s="1" t="d">
        <v>2022-10-11</v>
      </c>
      <c r="G343" s="1" t="d">
        <v>2024-07-15</v>
      </c>
      <c r="I343" t="str">
        <f>VLOOKUP(D343,Table3[#All],2,FALSE)</f>
        <v>ECR</v>
      </c>
    </row>
    <row r="344" spans="1:9" x14ac:dyDescent="0.2">
      <c r="A344">
        <v>260724</v>
      </c>
      <c r="B344" t="s">
        <v>405</v>
      </c>
      <c r="C344" t="s">
        <v>108</v>
      </c>
      <c r="D344" t="s">
        <v>10</v>
      </c>
      <c r="E344" t="s">
        <v>11</v>
      </c>
      <c r="F344" s="1" t="d">
        <v>2024-09-22</v>
      </c>
      <c r="I344" t="str">
        <f>VLOOKUP(D344,Table3[#All],2,FALSE)</f>
        <v>PfE</v>
      </c>
    </row>
    <row r="345" spans="1:9" x14ac:dyDescent="0.2">
      <c r="A345">
        <v>245018</v>
      </c>
      <c r="B345" t="s">
        <v>406</v>
      </c>
      <c r="C345" t="s">
        <v>58</v>
      </c>
      <c r="D345" t="s">
        <v>39</v>
      </c>
      <c r="E345" t="s">
        <v>51</v>
      </c>
      <c r="F345" s="1" t="d">
        <v>2024-07-16</v>
      </c>
      <c r="I345" t="str">
        <f>VLOOKUP(D345,Table3[#All],2,FALSE)</f>
        <v>S&amp;D</v>
      </c>
    </row>
    <row r="346" spans="1:9" x14ac:dyDescent="0.2">
      <c r="A346">
        <v>197772</v>
      </c>
      <c r="B346" t="s">
        <v>407</v>
      </c>
      <c r="C346" t="s">
        <v>9</v>
      </c>
      <c r="D346" t="s">
        <v>20</v>
      </c>
      <c r="E346" t="s">
        <v>11</v>
      </c>
      <c r="F346" s="1" t="d">
        <v>2024-07-16</v>
      </c>
      <c r="I346" t="str">
        <f>VLOOKUP(D346,Table3[#All],2,FALSE)</f>
        <v>Greens/EFA</v>
      </c>
    </row>
    <row r="347" spans="1:9" x14ac:dyDescent="0.2">
      <c r="A347">
        <v>190464</v>
      </c>
      <c r="B347" t="s">
        <v>408</v>
      </c>
      <c r="C347" t="s">
        <v>27</v>
      </c>
      <c r="D347" t="s">
        <v>20</v>
      </c>
      <c r="E347" t="s">
        <v>11</v>
      </c>
      <c r="F347" s="1" t="d">
        <v>2024-07-16</v>
      </c>
      <c r="I347" t="str">
        <f>VLOOKUP(D347,Table3[#All],2,FALSE)</f>
        <v>Greens/EFA</v>
      </c>
    </row>
    <row r="348" spans="1:9" x14ac:dyDescent="0.2">
      <c r="A348">
        <v>257009</v>
      </c>
      <c r="B348" t="s">
        <v>409</v>
      </c>
      <c r="C348" t="s">
        <v>22</v>
      </c>
      <c r="D348" t="s">
        <v>33</v>
      </c>
      <c r="E348" t="s">
        <v>11</v>
      </c>
      <c r="F348" s="1" t="d">
        <v>2024-07-16</v>
      </c>
      <c r="I348" t="str">
        <f>VLOOKUP(D348,Table3[#All],2,FALSE)</f>
        <v>The Left</v>
      </c>
    </row>
    <row r="349" spans="1:9" x14ac:dyDescent="0.2">
      <c r="A349">
        <v>197785</v>
      </c>
      <c r="B349" t="s">
        <v>410</v>
      </c>
      <c r="C349" t="s">
        <v>22</v>
      </c>
      <c r="D349" t="s">
        <v>23</v>
      </c>
      <c r="E349" t="s">
        <v>11</v>
      </c>
      <c r="F349" s="1" t="d">
        <v>2020-12-18</v>
      </c>
      <c r="G349" s="1" t="d">
        <v>2024-07-15</v>
      </c>
      <c r="I349" t="str">
        <f>VLOOKUP(D349,Table3[#All],2,FALSE)</f>
        <v>The Left</v>
      </c>
    </row>
    <row r="350" spans="1:9" x14ac:dyDescent="0.2">
      <c r="A350">
        <v>257102</v>
      </c>
      <c r="B350" t="s">
        <v>411</v>
      </c>
      <c r="C350" t="s">
        <v>25</v>
      </c>
      <c r="D350" t="s">
        <v>39</v>
      </c>
      <c r="E350" t="s">
        <v>11</v>
      </c>
      <c r="F350" s="1" t="d">
        <v>2024-07-16</v>
      </c>
      <c r="I350" t="str">
        <f>VLOOKUP(D350,Table3[#All],2,FALSE)</f>
        <v>S&amp;D</v>
      </c>
    </row>
    <row r="351" spans="1:9" x14ac:dyDescent="0.2">
      <c r="A351">
        <v>197627</v>
      </c>
      <c r="B351" t="s">
        <v>412</v>
      </c>
      <c r="C351" t="s">
        <v>58</v>
      </c>
      <c r="D351" t="s">
        <v>10</v>
      </c>
      <c r="E351" t="s">
        <v>11</v>
      </c>
      <c r="F351" s="1" t="d">
        <v>2024-07-16</v>
      </c>
      <c r="I351" t="str">
        <f>VLOOKUP(D351,Table3[#All],2,FALSE)</f>
        <v>PfE</v>
      </c>
    </row>
    <row r="352" spans="1:9" x14ac:dyDescent="0.2">
      <c r="A352">
        <v>197634</v>
      </c>
      <c r="B352" t="s">
        <v>413</v>
      </c>
      <c r="C352" t="s">
        <v>53</v>
      </c>
      <c r="D352" t="s">
        <v>180</v>
      </c>
      <c r="E352" t="s">
        <v>51</v>
      </c>
      <c r="F352" s="1" t="d">
        <v>2021-12-16</v>
      </c>
      <c r="G352" s="1" t="d">
        <v>2024-07-15</v>
      </c>
      <c r="I352" t="str">
        <f>VLOOKUP(D352,Table3[#All],2,FALSE)</f>
        <v>S&amp;D</v>
      </c>
    </row>
    <row r="353" spans="1:9" x14ac:dyDescent="0.2">
      <c r="A353">
        <v>124884</v>
      </c>
      <c r="B353" t="s">
        <v>414</v>
      </c>
      <c r="C353" t="s">
        <v>44</v>
      </c>
      <c r="D353" t="s">
        <v>17</v>
      </c>
      <c r="E353" t="s">
        <v>343</v>
      </c>
      <c r="F353" s="1" t="d">
        <v>2024-07-16</v>
      </c>
      <c r="I353" t="str">
        <f>VLOOKUP(D353,Table3[#All],2,FALSE)</f>
        <v>ECR</v>
      </c>
    </row>
    <row r="354" spans="1:9" x14ac:dyDescent="0.2">
      <c r="A354">
        <v>197556</v>
      </c>
      <c r="B354" t="s">
        <v>415</v>
      </c>
      <c r="C354" t="s">
        <v>41</v>
      </c>
      <c r="D354" t="s">
        <v>37</v>
      </c>
      <c r="E354" t="s">
        <v>11</v>
      </c>
      <c r="F354" s="1" t="d">
        <v>2024-07-16</v>
      </c>
      <c r="I354" t="str">
        <f>VLOOKUP(D354,Table3[#All],2,FALSE)</f>
        <v>ESN</v>
      </c>
    </row>
    <row r="355" spans="1:9" x14ac:dyDescent="0.2">
      <c r="A355">
        <v>840</v>
      </c>
      <c r="B355" t="s">
        <v>416</v>
      </c>
      <c r="C355" t="s">
        <v>314</v>
      </c>
      <c r="D355" t="s">
        <v>46</v>
      </c>
      <c r="E355" t="s">
        <v>18</v>
      </c>
      <c r="F355" s="1" t="d">
        <v>2024-07-16</v>
      </c>
      <c r="I355" t="str">
        <f>VLOOKUP(D355,Table3[#All],2,FALSE)</f>
        <v>Renew Europe</v>
      </c>
    </row>
    <row r="356" spans="1:9" x14ac:dyDescent="0.2">
      <c r="A356">
        <v>257038</v>
      </c>
      <c r="B356" t="s">
        <v>417</v>
      </c>
      <c r="C356" t="s">
        <v>131</v>
      </c>
      <c r="D356" t="s">
        <v>46</v>
      </c>
      <c r="E356" t="s">
        <v>18</v>
      </c>
      <c r="F356" s="1" t="d">
        <v>2024-07-16</v>
      </c>
      <c r="I356" t="str">
        <f>VLOOKUP(D356,Table3[#All],2,FALSE)</f>
        <v>Renew Europe</v>
      </c>
    </row>
    <row r="357" spans="1:9" x14ac:dyDescent="0.2">
      <c r="A357">
        <v>197435</v>
      </c>
      <c r="B357" t="s">
        <v>418</v>
      </c>
      <c r="C357" t="s">
        <v>13</v>
      </c>
      <c r="D357" t="s">
        <v>39</v>
      </c>
      <c r="E357" t="s">
        <v>51</v>
      </c>
      <c r="F357" s="1" t="d">
        <v>2024-07-16</v>
      </c>
      <c r="I357" t="str">
        <f>VLOOKUP(D357,Table3[#All],2,FALSE)</f>
        <v>S&amp;D</v>
      </c>
    </row>
    <row r="358" spans="1:9" x14ac:dyDescent="0.2">
      <c r="A358">
        <v>257066</v>
      </c>
      <c r="B358" t="s">
        <v>419</v>
      </c>
      <c r="C358" t="s">
        <v>53</v>
      </c>
      <c r="D358" t="s">
        <v>39</v>
      </c>
      <c r="E358" t="s">
        <v>11</v>
      </c>
      <c r="F358" s="1" t="d">
        <v>2024-07-16</v>
      </c>
      <c r="I358" t="str">
        <f>VLOOKUP(D358,Table3[#All],2,FALSE)</f>
        <v>S&amp;D</v>
      </c>
    </row>
    <row r="359" spans="1:9" x14ac:dyDescent="0.2">
      <c r="A359">
        <v>256991</v>
      </c>
      <c r="B359" t="s">
        <v>420</v>
      </c>
      <c r="C359" t="s">
        <v>9</v>
      </c>
      <c r="D359" t="s">
        <v>10</v>
      </c>
      <c r="E359" t="s">
        <v>51</v>
      </c>
      <c r="F359" s="1" t="d">
        <v>2024-07-16</v>
      </c>
      <c r="G359" s="1" t="d">
        <v>2025-11-11</v>
      </c>
      <c r="I359" t="str">
        <f>VLOOKUP(D359,Table3[#All],2,FALSE)</f>
        <v>PfE</v>
      </c>
    </row>
    <row r="360" spans="1:9" x14ac:dyDescent="0.2">
      <c r="A360">
        <v>257437</v>
      </c>
      <c r="B360" t="s">
        <v>421</v>
      </c>
      <c r="C360" t="s">
        <v>9</v>
      </c>
      <c r="D360" t="s">
        <v>20</v>
      </c>
      <c r="E360" t="s">
        <v>11</v>
      </c>
      <c r="F360" s="1" t="d">
        <v>2024-07-16</v>
      </c>
      <c r="I360" t="str">
        <f>VLOOKUP(D360,Table3[#All],2,FALSE)</f>
        <v>Greens/EFA</v>
      </c>
    </row>
    <row r="361" spans="1:9" x14ac:dyDescent="0.2">
      <c r="A361">
        <v>112747</v>
      </c>
      <c r="B361" t="s">
        <v>422</v>
      </c>
      <c r="C361" t="s">
        <v>79</v>
      </c>
      <c r="D361" t="s">
        <v>39</v>
      </c>
      <c r="E361" t="s">
        <v>11</v>
      </c>
      <c r="F361" s="1" t="d">
        <v>2024-07-16</v>
      </c>
      <c r="I361" t="str">
        <f>VLOOKUP(D361,Table3[#All],2,FALSE)</f>
        <v>S&amp;D</v>
      </c>
    </row>
    <row r="362" spans="1:9" x14ac:dyDescent="0.2">
      <c r="A362">
        <v>28267</v>
      </c>
      <c r="B362" t="s">
        <v>423</v>
      </c>
      <c r="C362" t="s">
        <v>22</v>
      </c>
      <c r="D362" t="s">
        <v>424</v>
      </c>
      <c r="E362" t="s">
        <v>11</v>
      </c>
      <c r="F362" s="1" t="d">
        <v>2004-07-20</v>
      </c>
      <c r="G362" s="1" t="d">
        <v>2009-07-13</v>
      </c>
      <c r="I362" t="str">
        <f>VLOOKUP(D362,Table3[#All],2,FALSE)</f>
        <v>S&amp;D</v>
      </c>
    </row>
    <row r="363" spans="1:9" x14ac:dyDescent="0.2">
      <c r="A363">
        <v>96646</v>
      </c>
      <c r="B363" t="s">
        <v>425</v>
      </c>
      <c r="C363" t="s">
        <v>13</v>
      </c>
      <c r="D363" t="s">
        <v>23</v>
      </c>
      <c r="E363" t="s">
        <v>11</v>
      </c>
      <c r="F363" s="1" t="d">
        <v>2020-12-18</v>
      </c>
      <c r="G363" s="1" t="d">
        <v>2024-07-15</v>
      </c>
      <c r="I363" t="str">
        <f>VLOOKUP(D363,Table3[#All],2,FALSE)</f>
        <v>The Left</v>
      </c>
    </row>
    <row r="364" spans="1:9" x14ac:dyDescent="0.2">
      <c r="A364">
        <v>188945</v>
      </c>
      <c r="B364" t="s">
        <v>426</v>
      </c>
      <c r="C364" t="s">
        <v>13</v>
      </c>
      <c r="D364" t="s">
        <v>14</v>
      </c>
      <c r="E364" t="s">
        <v>11</v>
      </c>
      <c r="F364" s="1" t="d">
        <v>2024-07-16</v>
      </c>
      <c r="I364" t="str">
        <f>VLOOKUP(D364,Table3[#All],2,FALSE)</f>
        <v>EPP</v>
      </c>
    </row>
    <row r="365" spans="1:9" x14ac:dyDescent="0.2">
      <c r="A365">
        <v>101039</v>
      </c>
      <c r="B365" t="s">
        <v>427</v>
      </c>
      <c r="C365" t="s">
        <v>25</v>
      </c>
      <c r="D365" t="s">
        <v>10</v>
      </c>
      <c r="E365" t="s">
        <v>18</v>
      </c>
      <c r="F365" s="1" t="d">
        <v>2024-07-16</v>
      </c>
      <c r="I365" t="str">
        <f>VLOOKUP(D365,Table3[#All],2,FALSE)</f>
        <v>PfE</v>
      </c>
    </row>
    <row r="366" spans="1:9" x14ac:dyDescent="0.2">
      <c r="A366">
        <v>197430</v>
      </c>
      <c r="B366" t="s">
        <v>428</v>
      </c>
      <c r="C366" t="s">
        <v>13</v>
      </c>
      <c r="D366" t="s">
        <v>46</v>
      </c>
      <c r="E366" t="s">
        <v>18</v>
      </c>
      <c r="F366" s="1" t="d">
        <v>2024-07-16</v>
      </c>
      <c r="I366" t="str">
        <f>VLOOKUP(D366,Table3[#All],2,FALSE)</f>
        <v>Renew Europe</v>
      </c>
    </row>
    <row r="367" spans="1:9" x14ac:dyDescent="0.2">
      <c r="A367">
        <v>96922</v>
      </c>
      <c r="B367" t="s">
        <v>429</v>
      </c>
      <c r="C367" t="s">
        <v>22</v>
      </c>
      <c r="D367" t="s">
        <v>207</v>
      </c>
      <c r="E367" t="s">
        <v>11</v>
      </c>
      <c r="F367" s="1" t="d">
        <v>2019-07-02</v>
      </c>
      <c r="G367" s="1" t="d">
        <v>2024-07-15</v>
      </c>
      <c r="I367" t="str">
        <f>VLOOKUP(D367,Table3[#All],2,FALSE)</f>
        <v>Renew Europe</v>
      </c>
    </row>
    <row r="368" spans="1:9" x14ac:dyDescent="0.2">
      <c r="A368">
        <v>256813</v>
      </c>
      <c r="B368" t="s">
        <v>430</v>
      </c>
      <c r="C368" t="s">
        <v>148</v>
      </c>
      <c r="D368" t="s">
        <v>20</v>
      </c>
      <c r="E368" t="s">
        <v>11</v>
      </c>
      <c r="F368" s="1" t="d">
        <v>2024-07-16</v>
      </c>
      <c r="I368" t="str">
        <f>VLOOKUP(D368,Table3[#All],2,FALSE)</f>
        <v>Greens/EFA</v>
      </c>
    </row>
    <row r="369" spans="1:9" x14ac:dyDescent="0.2">
      <c r="A369">
        <v>257000</v>
      </c>
      <c r="B369" t="s">
        <v>431</v>
      </c>
      <c r="C369" t="s">
        <v>79</v>
      </c>
      <c r="D369" t="s">
        <v>17</v>
      </c>
      <c r="E369" t="s">
        <v>18</v>
      </c>
      <c r="F369" s="1" t="d">
        <v>2024-07-16</v>
      </c>
      <c r="I369" t="str">
        <f>VLOOKUP(D369,Table3[#All],2,FALSE)</f>
        <v>ECR</v>
      </c>
    </row>
    <row r="370" spans="1:9" x14ac:dyDescent="0.2">
      <c r="A370">
        <v>257011</v>
      </c>
      <c r="B370" t="s">
        <v>432</v>
      </c>
      <c r="C370" t="s">
        <v>191</v>
      </c>
      <c r="D370" t="s">
        <v>46</v>
      </c>
      <c r="E370" t="s">
        <v>11</v>
      </c>
      <c r="F370" s="1" t="d">
        <v>2024-07-16</v>
      </c>
      <c r="I370" t="str">
        <f>VLOOKUP(D370,Table3[#All],2,FALSE)</f>
        <v>Renew Europe</v>
      </c>
    </row>
    <row r="371" spans="1:9" x14ac:dyDescent="0.2">
      <c r="A371">
        <v>257020</v>
      </c>
      <c r="B371" t="s">
        <v>433</v>
      </c>
      <c r="C371" t="s">
        <v>131</v>
      </c>
      <c r="D371" t="s">
        <v>46</v>
      </c>
      <c r="E371" t="s">
        <v>18</v>
      </c>
      <c r="F371" s="1" t="d">
        <v>2024-07-16</v>
      </c>
      <c r="I371" t="str">
        <f>VLOOKUP(D371,Table3[#All],2,FALSE)</f>
        <v>Renew Europe</v>
      </c>
    </row>
    <row r="372" spans="1:9" x14ac:dyDescent="0.2">
      <c r="A372">
        <v>256935</v>
      </c>
      <c r="B372" t="s">
        <v>434</v>
      </c>
      <c r="C372" t="s">
        <v>13</v>
      </c>
      <c r="D372" t="s">
        <v>39</v>
      </c>
      <c r="E372" t="s">
        <v>11</v>
      </c>
      <c r="F372" s="1" t="d">
        <v>2024-07-16</v>
      </c>
      <c r="I372" t="str">
        <f>VLOOKUP(D372,Table3[#All],2,FALSE)</f>
        <v>S&amp;D</v>
      </c>
    </row>
    <row r="373" spans="1:9" x14ac:dyDescent="0.2">
      <c r="A373">
        <v>256970</v>
      </c>
      <c r="B373" t="s">
        <v>435</v>
      </c>
      <c r="C373" t="s">
        <v>9</v>
      </c>
      <c r="D373" t="s">
        <v>46</v>
      </c>
      <c r="E373" t="s">
        <v>11</v>
      </c>
      <c r="F373" s="1" t="d">
        <v>2024-07-16</v>
      </c>
      <c r="I373" t="str">
        <f>VLOOKUP(D373,Table3[#All],2,FALSE)</f>
        <v>Renew Europe</v>
      </c>
    </row>
    <row r="374" spans="1:9" x14ac:dyDescent="0.2">
      <c r="A374">
        <v>197680</v>
      </c>
      <c r="B374" t="s">
        <v>436</v>
      </c>
      <c r="C374" t="s">
        <v>58</v>
      </c>
      <c r="D374" t="s">
        <v>112</v>
      </c>
      <c r="E374" t="s">
        <v>11</v>
      </c>
      <c r="F374" s="1" t="d">
        <v>2019-07-02</v>
      </c>
      <c r="G374" s="1" t="d">
        <v>2024-07-15</v>
      </c>
      <c r="I374" t="str">
        <f>VLOOKUP(D374,Table3[#All],2,FALSE)</f>
        <v>ID</v>
      </c>
    </row>
    <row r="375" spans="1:9" x14ac:dyDescent="0.2">
      <c r="A375">
        <v>197417</v>
      </c>
      <c r="B375" t="s">
        <v>437</v>
      </c>
      <c r="C375" t="s">
        <v>79</v>
      </c>
      <c r="D375" t="s">
        <v>14</v>
      </c>
      <c r="E375" t="s">
        <v>11</v>
      </c>
      <c r="F375" s="1" t="d">
        <v>2024-07-16</v>
      </c>
      <c r="I375" t="str">
        <f>VLOOKUP(D375,Table3[#All],2,FALSE)</f>
        <v>EPP</v>
      </c>
    </row>
    <row r="376" spans="1:9" x14ac:dyDescent="0.2">
      <c r="A376">
        <v>197403</v>
      </c>
      <c r="B376" t="s">
        <v>438</v>
      </c>
      <c r="C376" t="s">
        <v>73</v>
      </c>
      <c r="D376" t="s">
        <v>39</v>
      </c>
      <c r="E376" t="s">
        <v>51</v>
      </c>
      <c r="F376" s="1" t="d">
        <v>2024-07-16</v>
      </c>
      <c r="I376" t="str">
        <f>VLOOKUP(D376,Table3[#All],2,FALSE)</f>
        <v>S&amp;D</v>
      </c>
    </row>
    <row r="377" spans="1:9" x14ac:dyDescent="0.2">
      <c r="A377">
        <v>257103</v>
      </c>
      <c r="B377" t="s">
        <v>439</v>
      </c>
      <c r="C377" t="s">
        <v>35</v>
      </c>
      <c r="D377" t="s">
        <v>39</v>
      </c>
      <c r="E377" t="s">
        <v>11</v>
      </c>
      <c r="F377" s="1" t="d">
        <v>2024-07-16</v>
      </c>
      <c r="I377" t="str">
        <f>VLOOKUP(D377,Table3[#All],2,FALSE)</f>
        <v>S&amp;D</v>
      </c>
    </row>
    <row r="378" spans="1:9" x14ac:dyDescent="0.2">
      <c r="A378">
        <v>28298</v>
      </c>
      <c r="B378" t="s">
        <v>440</v>
      </c>
      <c r="C378" t="s">
        <v>22</v>
      </c>
      <c r="D378" t="s">
        <v>39</v>
      </c>
      <c r="E378" t="s">
        <v>119</v>
      </c>
      <c r="F378" s="1" t="d">
        <v>2024-07-16</v>
      </c>
      <c r="I378" t="str">
        <f>VLOOKUP(D378,Table3[#All],2,FALSE)</f>
        <v>S&amp;D</v>
      </c>
    </row>
    <row r="379" spans="1:9" x14ac:dyDescent="0.2">
      <c r="A379">
        <v>197464</v>
      </c>
      <c r="B379" t="s">
        <v>441</v>
      </c>
      <c r="C379" t="s">
        <v>13</v>
      </c>
      <c r="D379" t="s">
        <v>20</v>
      </c>
      <c r="E379" t="s">
        <v>11</v>
      </c>
      <c r="F379" s="1" t="d">
        <v>2024-07-16</v>
      </c>
      <c r="I379" t="str">
        <f>VLOOKUP(D379,Table3[#All],2,FALSE)</f>
        <v>Greens/EFA</v>
      </c>
    </row>
    <row r="380" spans="1:9" x14ac:dyDescent="0.2">
      <c r="A380">
        <v>126699</v>
      </c>
      <c r="B380" t="s">
        <v>442</v>
      </c>
      <c r="C380" t="s">
        <v>58</v>
      </c>
      <c r="D380" t="s">
        <v>10</v>
      </c>
      <c r="E380" t="s">
        <v>11</v>
      </c>
      <c r="F380" s="1" t="d">
        <v>2024-07-16</v>
      </c>
      <c r="I380" t="str">
        <f>VLOOKUP(D380,Table3[#All],2,FALSE)</f>
        <v>PfE</v>
      </c>
    </row>
    <row r="381" spans="1:9" x14ac:dyDescent="0.2">
      <c r="A381">
        <v>197870</v>
      </c>
      <c r="B381" t="s">
        <v>443</v>
      </c>
      <c r="C381" t="s">
        <v>9</v>
      </c>
      <c r="D381" t="s">
        <v>20</v>
      </c>
      <c r="E381" t="s">
        <v>11</v>
      </c>
      <c r="F381" s="1" t="d">
        <v>2024-07-16</v>
      </c>
      <c r="I381" t="str">
        <f>VLOOKUP(D381,Table3[#All],2,FALSE)</f>
        <v>Greens/EFA</v>
      </c>
    </row>
    <row r="382" spans="1:9" x14ac:dyDescent="0.2">
      <c r="A382">
        <v>197658</v>
      </c>
      <c r="B382" t="s">
        <v>444</v>
      </c>
      <c r="C382" t="s">
        <v>35</v>
      </c>
      <c r="D382" t="s">
        <v>39</v>
      </c>
      <c r="E382" t="s">
        <v>11</v>
      </c>
      <c r="F382" s="1" t="d">
        <v>2024-07-16</v>
      </c>
      <c r="I382" t="str">
        <f>VLOOKUP(D382,Table3[#All],2,FALSE)</f>
        <v>S&amp;D</v>
      </c>
    </row>
    <row r="383" spans="1:9" x14ac:dyDescent="0.2">
      <c r="A383">
        <v>198490</v>
      </c>
      <c r="B383" t="s">
        <v>445</v>
      </c>
      <c r="C383" t="s">
        <v>48</v>
      </c>
      <c r="D383" t="s">
        <v>17</v>
      </c>
      <c r="E383" t="s">
        <v>18</v>
      </c>
      <c r="F383" s="1" t="d">
        <v>2024-07-16</v>
      </c>
      <c r="I383" t="str">
        <f>VLOOKUP(D383,Table3[#All],2,FALSE)</f>
        <v>ECR</v>
      </c>
    </row>
    <row r="384" spans="1:9" x14ac:dyDescent="0.2">
      <c r="A384">
        <v>257081</v>
      </c>
      <c r="B384" t="s">
        <v>446</v>
      </c>
      <c r="C384" t="s">
        <v>53</v>
      </c>
      <c r="D384" t="s">
        <v>14</v>
      </c>
      <c r="E384" t="s">
        <v>11</v>
      </c>
      <c r="F384" s="1" t="d">
        <v>2024-07-16</v>
      </c>
      <c r="I384" t="str">
        <f>VLOOKUP(D384,Table3[#All],2,FALSE)</f>
        <v>EPP</v>
      </c>
    </row>
    <row r="385" spans="1:9" x14ac:dyDescent="0.2">
      <c r="A385">
        <v>208722</v>
      </c>
      <c r="B385" t="s">
        <v>447</v>
      </c>
      <c r="C385" t="s">
        <v>114</v>
      </c>
      <c r="D385" t="s">
        <v>20</v>
      </c>
      <c r="E385" t="s">
        <v>11</v>
      </c>
      <c r="F385" s="1" t="d">
        <v>2024-07-16</v>
      </c>
      <c r="I385" t="str">
        <f>VLOOKUP(D385,Table3[#All],2,FALSE)</f>
        <v>Greens/EFA</v>
      </c>
    </row>
    <row r="386" spans="1:9" x14ac:dyDescent="0.2">
      <c r="A386">
        <v>256866</v>
      </c>
      <c r="B386" t="s">
        <v>448</v>
      </c>
      <c r="C386" t="s">
        <v>108</v>
      </c>
      <c r="D386" t="s">
        <v>14</v>
      </c>
      <c r="E386" t="s">
        <v>11</v>
      </c>
      <c r="F386" s="1" t="d">
        <v>2024-07-16</v>
      </c>
      <c r="I386" t="str">
        <f>VLOOKUP(D386,Table3[#All],2,FALSE)</f>
        <v>EPP</v>
      </c>
    </row>
    <row r="387" spans="1:9" x14ac:dyDescent="0.2">
      <c r="A387">
        <v>197780</v>
      </c>
      <c r="B387" t="s">
        <v>449</v>
      </c>
      <c r="C387" t="s">
        <v>9</v>
      </c>
      <c r="D387" t="s">
        <v>46</v>
      </c>
      <c r="E387" t="s">
        <v>11</v>
      </c>
      <c r="F387" s="1" t="d">
        <v>2024-07-16</v>
      </c>
      <c r="I387" t="str">
        <f>VLOOKUP(D387,Table3[#All],2,FALSE)</f>
        <v>Renew Europe</v>
      </c>
    </row>
    <row r="388" spans="1:9" x14ac:dyDescent="0.2">
      <c r="A388">
        <v>197545</v>
      </c>
      <c r="B388" t="s">
        <v>450</v>
      </c>
      <c r="C388" t="s">
        <v>44</v>
      </c>
      <c r="D388" t="s">
        <v>17</v>
      </c>
      <c r="E388" t="s">
        <v>18</v>
      </c>
      <c r="F388" s="1" t="d">
        <v>2024-07-24</v>
      </c>
      <c r="I388" t="str">
        <f>VLOOKUP(D388,Table3[#All],2,FALSE)</f>
        <v>ECR</v>
      </c>
    </row>
    <row r="389" spans="1:9" x14ac:dyDescent="0.2">
      <c r="A389">
        <v>125106</v>
      </c>
      <c r="B389" t="s">
        <v>451</v>
      </c>
      <c r="C389" t="s">
        <v>114</v>
      </c>
      <c r="D389" t="s">
        <v>17</v>
      </c>
      <c r="E389" t="s">
        <v>18</v>
      </c>
      <c r="F389" s="1" t="d">
        <v>2024-07-16</v>
      </c>
      <c r="I389" t="str">
        <f>VLOOKUP(D389,Table3[#All],2,FALSE)</f>
        <v>ECR</v>
      </c>
    </row>
    <row r="390" spans="1:9" x14ac:dyDescent="0.2">
      <c r="A390">
        <v>131580</v>
      </c>
      <c r="B390" t="s">
        <v>452</v>
      </c>
      <c r="C390" t="s">
        <v>58</v>
      </c>
      <c r="D390" t="s">
        <v>10</v>
      </c>
      <c r="E390" t="s">
        <v>119</v>
      </c>
      <c r="F390" s="1" t="d">
        <v>2024-07-16</v>
      </c>
      <c r="I390" t="str">
        <f>VLOOKUP(D390,Table3[#All],2,FALSE)</f>
        <v>PfE</v>
      </c>
    </row>
    <row r="391" spans="1:9" x14ac:dyDescent="0.2">
      <c r="A391">
        <v>124992</v>
      </c>
      <c r="B391" t="s">
        <v>453</v>
      </c>
      <c r="C391" t="s">
        <v>71</v>
      </c>
      <c r="D391" t="s">
        <v>23</v>
      </c>
      <c r="E391" t="s">
        <v>11</v>
      </c>
      <c r="F391" s="1" t="d">
        <v>2020-12-18</v>
      </c>
      <c r="G391" s="1" t="d">
        <v>2024-07-15</v>
      </c>
      <c r="I391" t="str">
        <f>VLOOKUP(D391,Table3[#All],2,FALSE)</f>
        <v>The Left</v>
      </c>
    </row>
    <row r="392" spans="1:9" x14ac:dyDescent="0.2">
      <c r="A392">
        <v>256959</v>
      </c>
      <c r="B392" t="s">
        <v>454</v>
      </c>
      <c r="C392" t="s">
        <v>13</v>
      </c>
      <c r="D392" t="s">
        <v>37</v>
      </c>
      <c r="E392" t="s">
        <v>11</v>
      </c>
      <c r="F392" s="1" t="d">
        <v>2024-07-16</v>
      </c>
      <c r="I392" t="str">
        <f>VLOOKUP(D392,Table3[#All],2,FALSE)</f>
        <v>ESN</v>
      </c>
    </row>
    <row r="393" spans="1:9" x14ac:dyDescent="0.2">
      <c r="A393">
        <v>199996</v>
      </c>
      <c r="B393" t="s">
        <v>455</v>
      </c>
      <c r="C393" t="s">
        <v>53</v>
      </c>
      <c r="D393" t="s">
        <v>180</v>
      </c>
      <c r="E393" t="s">
        <v>11</v>
      </c>
      <c r="F393" s="1" t="d">
        <v>2019-09-03</v>
      </c>
      <c r="G393" s="1" t="d">
        <v>2024-07-15</v>
      </c>
      <c r="I393" t="str">
        <f>VLOOKUP(D393,Table3[#All],2,FALSE)</f>
        <v>S&amp;D</v>
      </c>
    </row>
    <row r="394" spans="1:9" x14ac:dyDescent="0.2">
      <c r="A394">
        <v>257124</v>
      </c>
      <c r="B394" t="s">
        <v>456</v>
      </c>
      <c r="C394" t="s">
        <v>25</v>
      </c>
      <c r="D394" t="s">
        <v>39</v>
      </c>
      <c r="E394" t="s">
        <v>11</v>
      </c>
      <c r="F394" s="1" t="d">
        <v>2024-07-16</v>
      </c>
      <c r="I394" t="str">
        <f>VLOOKUP(D394,Table3[#All],2,FALSE)</f>
        <v>S&amp;D</v>
      </c>
    </row>
    <row r="395" spans="1:9" x14ac:dyDescent="0.2">
      <c r="A395">
        <v>124784</v>
      </c>
      <c r="B395" t="s">
        <v>457</v>
      </c>
      <c r="C395" t="s">
        <v>35</v>
      </c>
      <c r="D395" t="s">
        <v>39</v>
      </c>
      <c r="E395" t="s">
        <v>11</v>
      </c>
      <c r="F395" s="1" t="d">
        <v>2024-07-16</v>
      </c>
      <c r="I395" t="str">
        <f>VLOOKUP(D395,Table3[#All],2,FALSE)</f>
        <v>S&amp;D</v>
      </c>
    </row>
    <row r="396" spans="1:9" x14ac:dyDescent="0.2">
      <c r="A396">
        <v>197529</v>
      </c>
      <c r="B396" t="s">
        <v>458</v>
      </c>
      <c r="C396" t="s">
        <v>58</v>
      </c>
      <c r="D396" t="s">
        <v>33</v>
      </c>
      <c r="E396" t="s">
        <v>11</v>
      </c>
      <c r="F396" s="1" t="d">
        <v>2024-07-16</v>
      </c>
      <c r="I396" t="str">
        <f>VLOOKUP(D396,Table3[#All],2,FALSE)</f>
        <v>The Left</v>
      </c>
    </row>
    <row r="397" spans="1:9" x14ac:dyDescent="0.2">
      <c r="A397">
        <v>236052</v>
      </c>
      <c r="B397" t="s">
        <v>459</v>
      </c>
      <c r="C397" t="s">
        <v>58</v>
      </c>
      <c r="D397" t="s">
        <v>112</v>
      </c>
      <c r="E397" t="s">
        <v>11</v>
      </c>
      <c r="F397" s="1" t="d">
        <v>2022-07-29</v>
      </c>
      <c r="G397" s="1" t="d">
        <v>2024-07-15</v>
      </c>
      <c r="I397" t="str">
        <f>VLOOKUP(D397,Table3[#All],2,FALSE)</f>
        <v>ID</v>
      </c>
    </row>
    <row r="398" spans="1:9" x14ac:dyDescent="0.2">
      <c r="A398">
        <v>256879</v>
      </c>
      <c r="B398" t="s">
        <v>460</v>
      </c>
      <c r="C398" t="s">
        <v>114</v>
      </c>
      <c r="D398" t="s">
        <v>46</v>
      </c>
      <c r="E398" t="s">
        <v>18</v>
      </c>
      <c r="F398" s="1" t="d">
        <v>2024-07-16</v>
      </c>
      <c r="I398" t="str">
        <f>VLOOKUP(D398,Table3[#All],2,FALSE)</f>
        <v>Renew Europe</v>
      </c>
    </row>
    <row r="399" spans="1:9" x14ac:dyDescent="0.2">
      <c r="A399">
        <v>197468</v>
      </c>
      <c r="B399" t="s">
        <v>461</v>
      </c>
      <c r="C399" t="s">
        <v>13</v>
      </c>
      <c r="D399" t="s">
        <v>33</v>
      </c>
      <c r="E399" t="s">
        <v>18</v>
      </c>
      <c r="F399" s="1" t="d">
        <v>2024-07-18</v>
      </c>
      <c r="I399" t="str">
        <f>VLOOKUP(D399,Table3[#All],2,FALSE)</f>
        <v>The Left</v>
      </c>
    </row>
    <row r="400" spans="1:9" x14ac:dyDescent="0.2">
      <c r="A400">
        <v>197788</v>
      </c>
      <c r="B400" t="s">
        <v>462</v>
      </c>
      <c r="C400" t="s">
        <v>25</v>
      </c>
      <c r="D400" t="s">
        <v>112</v>
      </c>
      <c r="E400" t="s">
        <v>11</v>
      </c>
      <c r="F400" s="1" t="d">
        <v>2019-07-02</v>
      </c>
      <c r="G400" s="1" t="d">
        <v>2024-07-15</v>
      </c>
      <c r="I400" t="str">
        <f>VLOOKUP(D400,Table3[#All],2,FALSE)</f>
        <v>ID</v>
      </c>
    </row>
    <row r="401" spans="1:9" x14ac:dyDescent="0.2">
      <c r="A401">
        <v>124766</v>
      </c>
      <c r="B401" t="s">
        <v>463</v>
      </c>
      <c r="C401" t="s">
        <v>65</v>
      </c>
      <c r="D401" t="s">
        <v>46</v>
      </c>
      <c r="E401" t="s">
        <v>18</v>
      </c>
      <c r="F401" s="1" t="d">
        <v>2024-07-16</v>
      </c>
      <c r="I401" t="str">
        <f>VLOOKUP(D401,Table3[#All],2,FALSE)</f>
        <v>Renew Europe</v>
      </c>
    </row>
    <row r="402" spans="1:9" x14ac:dyDescent="0.2">
      <c r="A402">
        <v>197502</v>
      </c>
      <c r="B402" t="s">
        <v>464</v>
      </c>
      <c r="C402" t="s">
        <v>58</v>
      </c>
      <c r="D402" t="s">
        <v>46</v>
      </c>
      <c r="E402" t="s">
        <v>18</v>
      </c>
      <c r="F402" s="1" t="d">
        <v>2024-07-16</v>
      </c>
      <c r="G402" s="1" t="d">
        <v>2025-10-11</v>
      </c>
      <c r="I402" t="str">
        <f>VLOOKUP(D402,Table3[#All],2,FALSE)</f>
        <v>Renew Europe</v>
      </c>
    </row>
    <row r="403" spans="1:9" x14ac:dyDescent="0.2">
      <c r="A403">
        <v>256949</v>
      </c>
      <c r="B403" t="s">
        <v>465</v>
      </c>
      <c r="C403" t="s">
        <v>13</v>
      </c>
      <c r="D403" t="s">
        <v>37</v>
      </c>
      <c r="E403" t="s">
        <v>466</v>
      </c>
      <c r="F403" s="1" t="d">
        <v>2024-07-16</v>
      </c>
      <c r="I403" t="str">
        <f>VLOOKUP(D403,Table3[#All],2,FALSE)</f>
        <v>ESN</v>
      </c>
    </row>
    <row r="404" spans="1:9" x14ac:dyDescent="0.2">
      <c r="A404">
        <v>256911</v>
      </c>
      <c r="B404" t="s">
        <v>467</v>
      </c>
      <c r="C404" t="s">
        <v>58</v>
      </c>
      <c r="D404" t="s">
        <v>33</v>
      </c>
      <c r="E404" t="s">
        <v>466</v>
      </c>
      <c r="F404" s="1" t="d">
        <v>2024-07-18</v>
      </c>
      <c r="I404" t="str">
        <f>VLOOKUP(D404,Table3[#All],2,FALSE)</f>
        <v>The Left</v>
      </c>
    </row>
    <row r="405" spans="1:9" x14ac:dyDescent="0.2">
      <c r="A405">
        <v>197537</v>
      </c>
      <c r="B405" t="s">
        <v>468</v>
      </c>
      <c r="C405" t="s">
        <v>41</v>
      </c>
      <c r="D405" t="s">
        <v>17</v>
      </c>
      <c r="E405" t="s">
        <v>51</v>
      </c>
      <c r="F405" s="1" t="d">
        <v>2024-07-16</v>
      </c>
      <c r="I405" t="str">
        <f>VLOOKUP(D405,Table3[#All],2,FALSE)</f>
        <v>ECR</v>
      </c>
    </row>
    <row r="406" spans="1:9" x14ac:dyDescent="0.2">
      <c r="A406">
        <v>185771</v>
      </c>
      <c r="B406" t="s">
        <v>469</v>
      </c>
      <c r="C406" t="s">
        <v>114</v>
      </c>
      <c r="D406" t="s">
        <v>10</v>
      </c>
      <c r="E406" t="s">
        <v>18</v>
      </c>
      <c r="F406" s="1" t="d">
        <v>2024-07-16</v>
      </c>
      <c r="I406" t="str">
        <f>VLOOKUP(D406,Table3[#All],2,FALSE)</f>
        <v>PfE</v>
      </c>
    </row>
    <row r="407" spans="1:9" x14ac:dyDescent="0.2">
      <c r="A407">
        <v>197840</v>
      </c>
      <c r="B407" t="s">
        <v>470</v>
      </c>
      <c r="C407" t="s">
        <v>65</v>
      </c>
      <c r="D407" t="s">
        <v>14</v>
      </c>
      <c r="E407" t="s">
        <v>11</v>
      </c>
      <c r="F407" s="1" t="d">
        <v>2024-07-16</v>
      </c>
      <c r="I407" t="str">
        <f>VLOOKUP(D407,Table3[#All],2,FALSE)</f>
        <v>EPP</v>
      </c>
    </row>
    <row r="408" spans="1:9" x14ac:dyDescent="0.2">
      <c r="A408">
        <v>257155</v>
      </c>
      <c r="B408" t="s">
        <v>471</v>
      </c>
      <c r="C408" t="s">
        <v>25</v>
      </c>
      <c r="D408" t="s">
        <v>33</v>
      </c>
      <c r="E408" t="s">
        <v>11</v>
      </c>
      <c r="F408" s="1" t="d">
        <v>2024-07-16</v>
      </c>
      <c r="I408" t="str">
        <f>VLOOKUP(D408,Table3[#All],2,FALSE)</f>
        <v>The Left</v>
      </c>
    </row>
    <row r="409" spans="1:9" x14ac:dyDescent="0.2">
      <c r="A409">
        <v>267485</v>
      </c>
      <c r="B409" t="s">
        <v>472</v>
      </c>
      <c r="C409" t="s">
        <v>13</v>
      </c>
      <c r="D409" t="s">
        <v>37</v>
      </c>
      <c r="E409" t="s">
        <v>11</v>
      </c>
      <c r="F409" s="1" t="d">
        <v>2025-05-08</v>
      </c>
      <c r="I409" t="str">
        <f>VLOOKUP(D409,Table3[#All],2,FALSE)</f>
        <v>ESN</v>
      </c>
    </row>
    <row r="410" spans="1:9" x14ac:dyDescent="0.2">
      <c r="A410">
        <v>197668</v>
      </c>
      <c r="B410" t="s">
        <v>473</v>
      </c>
      <c r="C410" t="s">
        <v>35</v>
      </c>
      <c r="D410" t="s">
        <v>207</v>
      </c>
      <c r="E410" t="s">
        <v>11</v>
      </c>
      <c r="F410" s="1" t="d">
        <v>2019-07-02</v>
      </c>
      <c r="G410" s="1" t="d">
        <v>2024-07-15</v>
      </c>
      <c r="I410" t="str">
        <f>VLOOKUP(D410,Table3[#All],2,FALSE)</f>
        <v>Renew Europe</v>
      </c>
    </row>
    <row r="411" spans="1:9" x14ac:dyDescent="0.2">
      <c r="A411">
        <v>197528</v>
      </c>
      <c r="B411" t="s">
        <v>474</v>
      </c>
      <c r="C411" t="s">
        <v>41</v>
      </c>
      <c r="D411" t="s">
        <v>10</v>
      </c>
      <c r="E411" t="s">
        <v>18</v>
      </c>
      <c r="F411" s="1" t="d">
        <v>2024-07-16</v>
      </c>
      <c r="I411" t="str">
        <f>VLOOKUP(D411,Table3[#All],2,FALSE)</f>
        <v>PfE</v>
      </c>
    </row>
    <row r="412" spans="1:9" x14ac:dyDescent="0.2">
      <c r="A412">
        <v>257014</v>
      </c>
      <c r="B412" t="s">
        <v>475</v>
      </c>
      <c r="C412" t="s">
        <v>191</v>
      </c>
      <c r="D412" t="s">
        <v>46</v>
      </c>
      <c r="E412" t="s">
        <v>11</v>
      </c>
      <c r="F412" s="1" t="d">
        <v>2024-07-16</v>
      </c>
      <c r="I412" t="str">
        <f>VLOOKUP(D412,Table3[#All],2,FALSE)</f>
        <v>Renew Europe</v>
      </c>
    </row>
    <row r="413" spans="1:9" x14ac:dyDescent="0.2">
      <c r="A413">
        <v>256834</v>
      </c>
      <c r="B413" t="s">
        <v>476</v>
      </c>
      <c r="C413" t="s">
        <v>27</v>
      </c>
      <c r="D413" t="s">
        <v>10</v>
      </c>
      <c r="E413" t="s">
        <v>11</v>
      </c>
      <c r="F413" s="1" t="d">
        <v>2024-07-16</v>
      </c>
      <c r="I413" t="str">
        <f>VLOOKUP(D413,Table3[#All],2,FALSE)</f>
        <v>PfE</v>
      </c>
    </row>
    <row r="414" spans="1:9" x14ac:dyDescent="0.2">
      <c r="A414">
        <v>256943</v>
      </c>
      <c r="B414" t="s">
        <v>477</v>
      </c>
      <c r="C414" t="s">
        <v>48</v>
      </c>
      <c r="D414" t="s">
        <v>14</v>
      </c>
      <c r="E414" t="s">
        <v>11</v>
      </c>
      <c r="F414" s="1" t="d">
        <v>2024-07-16</v>
      </c>
      <c r="I414" t="str">
        <f>VLOOKUP(D414,Table3[#All],2,FALSE)</f>
        <v>EPP</v>
      </c>
    </row>
    <row r="415" spans="1:9" x14ac:dyDescent="0.2">
      <c r="A415">
        <v>256860</v>
      </c>
      <c r="B415" t="s">
        <v>478</v>
      </c>
      <c r="C415" t="s">
        <v>108</v>
      </c>
      <c r="D415" t="s">
        <v>10</v>
      </c>
      <c r="E415" t="s">
        <v>11</v>
      </c>
      <c r="F415" s="1" t="d">
        <v>2024-07-16</v>
      </c>
      <c r="I415" t="str">
        <f>VLOOKUP(D415,Table3[#All],2,FALSE)</f>
        <v>PfE</v>
      </c>
    </row>
    <row r="416" spans="1:9" x14ac:dyDescent="0.2">
      <c r="A416">
        <v>256979</v>
      </c>
      <c r="B416" t="s">
        <v>479</v>
      </c>
      <c r="C416" t="s">
        <v>13</v>
      </c>
      <c r="D416" t="s">
        <v>14</v>
      </c>
      <c r="E416" t="s">
        <v>11</v>
      </c>
      <c r="F416" s="1" t="d">
        <v>2024-07-16</v>
      </c>
      <c r="I416" t="str">
        <f>VLOOKUP(D416,Table3[#All],2,FALSE)</f>
        <v>EPP</v>
      </c>
    </row>
    <row r="417" spans="1:9" x14ac:dyDescent="0.2">
      <c r="A417">
        <v>256916</v>
      </c>
      <c r="B417" t="s">
        <v>480</v>
      </c>
      <c r="C417" t="s">
        <v>61</v>
      </c>
      <c r="D417" t="s">
        <v>20</v>
      </c>
      <c r="E417" t="s">
        <v>11</v>
      </c>
      <c r="F417" s="1" t="d">
        <v>2024-07-16</v>
      </c>
      <c r="I417" t="str">
        <f>VLOOKUP(D417,Table3[#All],2,FALSE)</f>
        <v>Greens/EFA</v>
      </c>
    </row>
    <row r="418" spans="1:9" x14ac:dyDescent="0.2">
      <c r="A418">
        <v>256890</v>
      </c>
      <c r="B418" t="s">
        <v>481</v>
      </c>
      <c r="C418" t="s">
        <v>114</v>
      </c>
      <c r="D418" t="s">
        <v>33</v>
      </c>
      <c r="E418" t="s">
        <v>11</v>
      </c>
      <c r="F418" s="1" t="d">
        <v>2024-07-16</v>
      </c>
      <c r="I418" t="str">
        <f>VLOOKUP(D418,Table3[#All],2,FALSE)</f>
        <v>The Left</v>
      </c>
    </row>
    <row r="419" spans="1:9" x14ac:dyDescent="0.2">
      <c r="A419">
        <v>106936</v>
      </c>
      <c r="B419" t="s">
        <v>482</v>
      </c>
      <c r="C419" t="s">
        <v>13</v>
      </c>
      <c r="D419" t="s">
        <v>20</v>
      </c>
      <c r="E419" t="s">
        <v>11</v>
      </c>
      <c r="F419" s="1" t="d">
        <v>2024-07-16</v>
      </c>
      <c r="I419" t="str">
        <f>VLOOKUP(D419,Table3[#All],2,FALSE)</f>
        <v>Greens/EFA</v>
      </c>
    </row>
    <row r="420" spans="1:9" x14ac:dyDescent="0.2">
      <c r="A420">
        <v>25758</v>
      </c>
      <c r="B420" t="s">
        <v>483</v>
      </c>
      <c r="C420" t="s">
        <v>13</v>
      </c>
      <c r="D420" t="s">
        <v>49</v>
      </c>
      <c r="E420" t="s">
        <v>11</v>
      </c>
      <c r="F420" s="1" t="d">
        <v>2024-07-16</v>
      </c>
      <c r="I420" t="str">
        <f>VLOOKUP(D420,Table3[#All],2,FALSE)</f>
        <v>Non-attached</v>
      </c>
    </row>
    <row r="421" spans="1:9" x14ac:dyDescent="0.2">
      <c r="A421">
        <v>96791</v>
      </c>
      <c r="B421" t="s">
        <v>484</v>
      </c>
      <c r="C421" t="s">
        <v>44</v>
      </c>
      <c r="D421" t="s">
        <v>14</v>
      </c>
      <c r="E421" t="s">
        <v>11</v>
      </c>
      <c r="F421" s="1" t="d">
        <v>2024-07-16</v>
      </c>
      <c r="I421" t="str">
        <f>VLOOKUP(D421,Table3[#All],2,FALSE)</f>
        <v>EPP</v>
      </c>
    </row>
    <row r="422" spans="1:9" x14ac:dyDescent="0.2">
      <c r="A422">
        <v>197738</v>
      </c>
      <c r="B422" t="s">
        <v>485</v>
      </c>
      <c r="C422" t="s">
        <v>53</v>
      </c>
      <c r="D422" t="s">
        <v>14</v>
      </c>
      <c r="E422" t="s">
        <v>51</v>
      </c>
      <c r="F422" s="1" t="d">
        <v>2024-07-16</v>
      </c>
      <c r="I422" t="str">
        <f>VLOOKUP(D422,Table3[#All],2,FALSE)</f>
        <v>EPP</v>
      </c>
    </row>
    <row r="423" spans="1:9" x14ac:dyDescent="0.2">
      <c r="A423">
        <v>38542</v>
      </c>
      <c r="B423" t="s">
        <v>486</v>
      </c>
      <c r="C423" t="s">
        <v>71</v>
      </c>
      <c r="D423" t="s">
        <v>39</v>
      </c>
      <c r="E423" t="s">
        <v>11</v>
      </c>
      <c r="F423" s="1" t="d">
        <v>2024-07-16</v>
      </c>
      <c r="I423" t="str">
        <f>VLOOKUP(D423,Table3[#All],2,FALSE)</f>
        <v>S&amp;D</v>
      </c>
    </row>
    <row r="424" spans="1:9" x14ac:dyDescent="0.2">
      <c r="A424">
        <v>257055</v>
      </c>
      <c r="B424" t="s">
        <v>487</v>
      </c>
      <c r="C424" t="s">
        <v>44</v>
      </c>
      <c r="D424" t="s">
        <v>17</v>
      </c>
      <c r="E424" t="s">
        <v>11</v>
      </c>
      <c r="F424" s="1" t="d">
        <v>2024-07-16</v>
      </c>
      <c r="I424" t="str">
        <f>VLOOKUP(D424,Table3[#All],2,FALSE)</f>
        <v>ECR</v>
      </c>
    </row>
    <row r="425" spans="1:9" x14ac:dyDescent="0.2">
      <c r="A425">
        <v>197849</v>
      </c>
      <c r="B425" t="s">
        <v>488</v>
      </c>
      <c r="C425" t="s">
        <v>16</v>
      </c>
      <c r="D425" t="s">
        <v>80</v>
      </c>
      <c r="E425" t="s">
        <v>11</v>
      </c>
      <c r="F425" s="1" t="d">
        <v>2019-07-02</v>
      </c>
      <c r="G425" s="1" t="d">
        <v>2024-07-15</v>
      </c>
      <c r="I425" t="str">
        <f>VLOOKUP(D425,Table3[#All],2,FALSE)</f>
        <v>ECR</v>
      </c>
    </row>
    <row r="426" spans="1:9" x14ac:dyDescent="0.2">
      <c r="A426">
        <v>256889</v>
      </c>
      <c r="B426" t="s">
        <v>489</v>
      </c>
      <c r="C426" t="s">
        <v>114</v>
      </c>
      <c r="D426" t="s">
        <v>14</v>
      </c>
      <c r="E426" t="s">
        <v>11</v>
      </c>
      <c r="F426" s="1" t="d">
        <v>2024-07-16</v>
      </c>
      <c r="I426" t="str">
        <f>VLOOKUP(D426,Table3[#All],2,FALSE)</f>
        <v>EPP</v>
      </c>
    </row>
    <row r="427" spans="1:9" x14ac:dyDescent="0.2">
      <c r="A427">
        <v>96940</v>
      </c>
      <c r="B427" t="s">
        <v>490</v>
      </c>
      <c r="C427" t="s">
        <v>9</v>
      </c>
      <c r="D427" t="s">
        <v>46</v>
      </c>
      <c r="E427" t="s">
        <v>18</v>
      </c>
      <c r="F427" s="1" t="d">
        <v>2024-07-16</v>
      </c>
      <c r="I427" t="str">
        <f>VLOOKUP(D427,Table3[#All],2,FALSE)</f>
        <v>Renew Europe</v>
      </c>
    </row>
    <row r="428" spans="1:9" x14ac:dyDescent="0.2">
      <c r="A428">
        <v>257138</v>
      </c>
      <c r="B428" t="s">
        <v>491</v>
      </c>
      <c r="C428" t="s">
        <v>25</v>
      </c>
      <c r="D428" t="s">
        <v>33</v>
      </c>
      <c r="E428" t="s">
        <v>11</v>
      </c>
      <c r="F428" s="1" t="d">
        <v>2024-07-16</v>
      </c>
      <c r="I428" t="str">
        <f>VLOOKUP(D428,Table3[#All],2,FALSE)</f>
        <v>The Left</v>
      </c>
    </row>
    <row r="429" spans="1:9" x14ac:dyDescent="0.2">
      <c r="A429">
        <v>257106</v>
      </c>
      <c r="B429" t="s">
        <v>492</v>
      </c>
      <c r="C429" t="s">
        <v>25</v>
      </c>
      <c r="D429" t="s">
        <v>39</v>
      </c>
      <c r="E429" t="s">
        <v>11</v>
      </c>
      <c r="F429" s="1" t="d">
        <v>2024-07-16</v>
      </c>
      <c r="I429" t="str">
        <f>VLOOKUP(D429,Table3[#All],2,FALSE)</f>
        <v>S&amp;D</v>
      </c>
    </row>
    <row r="430" spans="1:9" x14ac:dyDescent="0.2">
      <c r="A430">
        <v>256869</v>
      </c>
      <c r="B430" t="s">
        <v>493</v>
      </c>
      <c r="C430" t="s">
        <v>58</v>
      </c>
      <c r="D430" t="s">
        <v>46</v>
      </c>
      <c r="E430" t="s">
        <v>11</v>
      </c>
      <c r="F430" s="1" t="d">
        <v>2024-07-16</v>
      </c>
      <c r="I430" t="str">
        <f>VLOOKUP(D430,Table3[#All],2,FALSE)</f>
        <v>Renew Europe</v>
      </c>
    </row>
    <row r="431" spans="1:9" x14ac:dyDescent="0.2">
      <c r="A431">
        <v>197558</v>
      </c>
      <c r="B431" t="s">
        <v>494</v>
      </c>
      <c r="C431" t="s">
        <v>131</v>
      </c>
      <c r="D431" t="s">
        <v>46</v>
      </c>
      <c r="E431" t="s">
        <v>11</v>
      </c>
      <c r="F431" s="1" t="d">
        <v>2024-07-16</v>
      </c>
      <c r="I431" t="str">
        <f>VLOOKUP(D431,Table3[#All],2,FALSE)</f>
        <v>Renew Europe</v>
      </c>
    </row>
    <row r="432" spans="1:9" x14ac:dyDescent="0.2">
      <c r="A432">
        <v>197455</v>
      </c>
      <c r="B432" t="s">
        <v>495</v>
      </c>
      <c r="C432" t="s">
        <v>114</v>
      </c>
      <c r="D432" t="s">
        <v>29</v>
      </c>
      <c r="E432" t="s">
        <v>11</v>
      </c>
      <c r="F432" s="1" t="d">
        <v>2019-07-02</v>
      </c>
      <c r="G432" s="1" t="d">
        <v>2024-07-15</v>
      </c>
      <c r="I432" t="str">
        <f>VLOOKUP(D432,Table3[#All],2,FALSE)</f>
        <v>EPP</v>
      </c>
    </row>
    <row r="433" spans="1:9" x14ac:dyDescent="0.2">
      <c r="A433">
        <v>256815</v>
      </c>
      <c r="B433" t="s">
        <v>496</v>
      </c>
      <c r="C433" t="s">
        <v>148</v>
      </c>
      <c r="D433" t="s">
        <v>46</v>
      </c>
      <c r="E433" t="s">
        <v>11</v>
      </c>
      <c r="F433" s="1" t="d">
        <v>2024-07-16</v>
      </c>
      <c r="I433" t="str">
        <f>VLOOKUP(D433,Table3[#All],2,FALSE)</f>
        <v>Renew Europe</v>
      </c>
    </row>
    <row r="434" spans="1:9" x14ac:dyDescent="0.2">
      <c r="A434">
        <v>257082</v>
      </c>
      <c r="B434" t="s">
        <v>497</v>
      </c>
      <c r="C434" t="s">
        <v>44</v>
      </c>
      <c r="D434" t="s">
        <v>14</v>
      </c>
      <c r="E434" t="s">
        <v>11</v>
      </c>
      <c r="F434" s="1" t="d">
        <v>2024-07-16</v>
      </c>
      <c r="I434" t="str">
        <f>VLOOKUP(D434,Table3[#All],2,FALSE)</f>
        <v>EPP</v>
      </c>
    </row>
    <row r="435" spans="1:9" x14ac:dyDescent="0.2">
      <c r="A435">
        <v>256993</v>
      </c>
      <c r="B435" t="s">
        <v>498</v>
      </c>
      <c r="C435" t="s">
        <v>22</v>
      </c>
      <c r="D435" t="s">
        <v>39</v>
      </c>
      <c r="E435" t="s">
        <v>11</v>
      </c>
      <c r="F435" s="1" t="d">
        <v>2024-07-16</v>
      </c>
      <c r="I435" t="str">
        <f>VLOOKUP(D435,Table3[#All],2,FALSE)</f>
        <v>S&amp;D</v>
      </c>
    </row>
    <row r="436" spans="1:9" x14ac:dyDescent="0.2">
      <c r="A436">
        <v>197615</v>
      </c>
      <c r="B436" t="s">
        <v>499</v>
      </c>
      <c r="C436" t="s">
        <v>58</v>
      </c>
      <c r="D436" t="s">
        <v>146</v>
      </c>
      <c r="E436" t="s">
        <v>11</v>
      </c>
      <c r="F436" s="1" t="d">
        <v>2022-01-25</v>
      </c>
      <c r="G436" s="1" t="d">
        <v>2024-07-15</v>
      </c>
      <c r="I436" t="str">
        <f>VLOOKUP(D436,Table3[#All],2,FALSE)</f>
        <v>EPP</v>
      </c>
    </row>
    <row r="437" spans="1:9" x14ac:dyDescent="0.2">
      <c r="A437">
        <v>197831</v>
      </c>
      <c r="B437" t="s">
        <v>500</v>
      </c>
      <c r="C437" t="s">
        <v>22</v>
      </c>
      <c r="D437" t="s">
        <v>10</v>
      </c>
      <c r="E437" t="s">
        <v>51</v>
      </c>
      <c r="F437" s="1" t="d">
        <v>2024-07-16</v>
      </c>
      <c r="I437" t="str">
        <f>VLOOKUP(D437,Table3[#All],2,FALSE)</f>
        <v>PfE</v>
      </c>
    </row>
    <row r="438" spans="1:9" x14ac:dyDescent="0.2">
      <c r="A438">
        <v>257143</v>
      </c>
      <c r="B438" t="s">
        <v>501</v>
      </c>
      <c r="C438" t="s">
        <v>25</v>
      </c>
      <c r="D438" t="s">
        <v>17</v>
      </c>
      <c r="E438" t="s">
        <v>11</v>
      </c>
      <c r="F438" s="1" t="d">
        <v>2024-07-16</v>
      </c>
      <c r="I438" t="str">
        <f>VLOOKUP(D438,Table3[#All],2,FALSE)</f>
        <v>ECR</v>
      </c>
    </row>
    <row r="439" spans="1:9" x14ac:dyDescent="0.2">
      <c r="A439">
        <v>197690</v>
      </c>
      <c r="B439" t="s">
        <v>502</v>
      </c>
      <c r="C439" t="s">
        <v>58</v>
      </c>
      <c r="D439" t="s">
        <v>10</v>
      </c>
      <c r="E439" t="s">
        <v>11</v>
      </c>
      <c r="F439" s="1" t="d">
        <v>2024-07-16</v>
      </c>
      <c r="I439" t="str">
        <f>VLOOKUP(D439,Table3[#All],2,FALSE)</f>
        <v>PfE</v>
      </c>
    </row>
    <row r="440" spans="1:9" x14ac:dyDescent="0.2">
      <c r="A440">
        <v>256945</v>
      </c>
      <c r="B440" t="s">
        <v>503</v>
      </c>
      <c r="C440" t="s">
        <v>13</v>
      </c>
      <c r="D440" t="s">
        <v>37</v>
      </c>
      <c r="E440" t="s">
        <v>11</v>
      </c>
      <c r="F440" s="1" t="d">
        <v>2024-07-16</v>
      </c>
      <c r="I440" t="str">
        <f>VLOOKUP(D440,Table3[#All],2,FALSE)</f>
        <v>ESN</v>
      </c>
    </row>
    <row r="441" spans="1:9" x14ac:dyDescent="0.2">
      <c r="A441">
        <v>197802</v>
      </c>
      <c r="B441" t="s">
        <v>504</v>
      </c>
      <c r="C441" t="s">
        <v>96</v>
      </c>
      <c r="D441" t="s">
        <v>20</v>
      </c>
      <c r="E441" t="s">
        <v>11</v>
      </c>
      <c r="F441" s="1" t="d">
        <v>2024-07-16</v>
      </c>
      <c r="I441" t="str">
        <f>VLOOKUP(D441,Table3[#All],2,FALSE)</f>
        <v>Greens/EFA</v>
      </c>
    </row>
    <row r="442" spans="1:9" x14ac:dyDescent="0.2">
      <c r="A442">
        <v>197606</v>
      </c>
      <c r="B442" t="s">
        <v>505</v>
      </c>
      <c r="C442" t="s">
        <v>22</v>
      </c>
      <c r="D442" t="s">
        <v>14</v>
      </c>
      <c r="E442" t="s">
        <v>11</v>
      </c>
      <c r="F442" s="1" t="d">
        <v>2024-07-16</v>
      </c>
      <c r="I442" t="str">
        <f>VLOOKUP(D442,Table3[#All],2,FALSE)</f>
        <v>EPP</v>
      </c>
    </row>
    <row r="443" spans="1:9" x14ac:dyDescent="0.2">
      <c r="A443">
        <v>204419</v>
      </c>
      <c r="B443" t="s">
        <v>506</v>
      </c>
      <c r="C443" t="s">
        <v>25</v>
      </c>
      <c r="D443" t="s">
        <v>46</v>
      </c>
      <c r="E443" t="s">
        <v>11</v>
      </c>
      <c r="F443" s="1" t="d">
        <v>2024-07-16</v>
      </c>
      <c r="I443" t="str">
        <f>VLOOKUP(D443,Table3[#All],2,FALSE)</f>
        <v>Renew Europe</v>
      </c>
    </row>
    <row r="444" spans="1:9" x14ac:dyDescent="0.2">
      <c r="A444">
        <v>257071</v>
      </c>
      <c r="B444" t="s">
        <v>507</v>
      </c>
      <c r="C444" t="s">
        <v>53</v>
      </c>
      <c r="D444" t="s">
        <v>39</v>
      </c>
      <c r="E444" t="s">
        <v>11</v>
      </c>
      <c r="F444" s="1" t="d">
        <v>2024-07-16</v>
      </c>
      <c r="I444" t="str">
        <f>VLOOKUP(D444,Table3[#All],2,FALSE)</f>
        <v>S&amp;D</v>
      </c>
    </row>
    <row r="445" spans="1:9" x14ac:dyDescent="0.2">
      <c r="A445">
        <v>124799</v>
      </c>
      <c r="B445" t="s">
        <v>508</v>
      </c>
      <c r="C445" t="s">
        <v>25</v>
      </c>
      <c r="D445" t="s">
        <v>39</v>
      </c>
      <c r="E445" t="s">
        <v>11</v>
      </c>
      <c r="F445" s="1" t="d">
        <v>2024-07-16</v>
      </c>
      <c r="I445" t="str">
        <f>VLOOKUP(D445,Table3[#All],2,FALSE)</f>
        <v>S&amp;D</v>
      </c>
    </row>
    <row r="446" spans="1:9" x14ac:dyDescent="0.2">
      <c r="A446">
        <v>197722</v>
      </c>
      <c r="B446" t="s">
        <v>509</v>
      </c>
      <c r="C446" t="s">
        <v>22</v>
      </c>
      <c r="D446" t="s">
        <v>39</v>
      </c>
      <c r="E446" t="s">
        <v>11</v>
      </c>
      <c r="F446" s="1" t="d">
        <v>2024-07-16</v>
      </c>
      <c r="I446" t="str">
        <f>VLOOKUP(D446,Table3[#All],2,FALSE)</f>
        <v>S&amp;D</v>
      </c>
    </row>
    <row r="447" spans="1:9" x14ac:dyDescent="0.2">
      <c r="A447">
        <v>256887</v>
      </c>
      <c r="B447" t="s">
        <v>510</v>
      </c>
      <c r="C447" t="s">
        <v>114</v>
      </c>
      <c r="D447" t="s">
        <v>14</v>
      </c>
      <c r="E447" t="s">
        <v>11</v>
      </c>
      <c r="F447" s="1" t="d">
        <v>2024-07-16</v>
      </c>
      <c r="I447" t="str">
        <f>VLOOKUP(D447,Table3[#All],2,FALSE)</f>
        <v>EPP</v>
      </c>
    </row>
    <row r="448" spans="1:9" x14ac:dyDescent="0.2">
      <c r="A448">
        <v>124738</v>
      </c>
      <c r="B448" t="s">
        <v>511</v>
      </c>
      <c r="C448" t="s">
        <v>58</v>
      </c>
      <c r="D448" t="s">
        <v>112</v>
      </c>
      <c r="E448" t="s">
        <v>11</v>
      </c>
      <c r="F448" s="1" t="d">
        <v>2019-07-02</v>
      </c>
      <c r="G448" s="1" t="d">
        <v>2024-07-15</v>
      </c>
      <c r="I448" t="str">
        <f>VLOOKUP(D448,Table3[#All],2,FALSE)</f>
        <v>ID</v>
      </c>
    </row>
    <row r="449" spans="1:9" x14ac:dyDescent="0.2">
      <c r="A449">
        <v>125065</v>
      </c>
      <c r="B449" t="s">
        <v>512</v>
      </c>
      <c r="C449" t="s">
        <v>48</v>
      </c>
      <c r="D449" t="s">
        <v>14</v>
      </c>
      <c r="E449" t="s">
        <v>11</v>
      </c>
      <c r="F449" s="1" t="d">
        <v>2024-07-16</v>
      </c>
      <c r="I449" t="str">
        <f>VLOOKUP(D449,Table3[#All],2,FALSE)</f>
        <v>EPP</v>
      </c>
    </row>
    <row r="450" spans="1:9" x14ac:dyDescent="0.2">
      <c r="A450">
        <v>256886</v>
      </c>
      <c r="B450" t="s">
        <v>513</v>
      </c>
      <c r="C450" t="s">
        <v>58</v>
      </c>
      <c r="D450" t="s">
        <v>10</v>
      </c>
      <c r="E450" t="s">
        <v>11</v>
      </c>
      <c r="F450" s="1" t="d">
        <v>2024-07-16</v>
      </c>
      <c r="I450" t="str">
        <f>VLOOKUP(D450,Table3[#All],2,FALSE)</f>
        <v>PfE</v>
      </c>
    </row>
    <row r="451" spans="1:9" x14ac:dyDescent="0.2">
      <c r="A451">
        <v>256863</v>
      </c>
      <c r="B451" t="s">
        <v>514</v>
      </c>
      <c r="C451" t="s">
        <v>108</v>
      </c>
      <c r="D451" t="s">
        <v>14</v>
      </c>
      <c r="E451" t="s">
        <v>11</v>
      </c>
      <c r="F451" s="1" t="d">
        <v>2024-07-16</v>
      </c>
      <c r="G451" s="1" t="d">
        <v>2026-05-08</v>
      </c>
      <c r="I451" t="str">
        <f>VLOOKUP(D451,Table3[#All],2,FALSE)</f>
        <v>EPP</v>
      </c>
    </row>
    <row r="452" spans="1:9" x14ac:dyDescent="0.2">
      <c r="A452">
        <v>256905</v>
      </c>
      <c r="B452" t="s">
        <v>515</v>
      </c>
      <c r="C452" t="s">
        <v>58</v>
      </c>
      <c r="D452" t="s">
        <v>39</v>
      </c>
      <c r="E452" t="s">
        <v>11</v>
      </c>
      <c r="F452" s="1" t="d">
        <v>2024-07-16</v>
      </c>
      <c r="I452" t="str">
        <f>VLOOKUP(D452,Table3[#All],2,FALSE)</f>
        <v>S&amp;D</v>
      </c>
    </row>
    <row r="453" spans="1:9" x14ac:dyDescent="0.2">
      <c r="A453">
        <v>204414</v>
      </c>
      <c r="B453" t="s">
        <v>516</v>
      </c>
      <c r="C453" t="s">
        <v>22</v>
      </c>
      <c r="D453" t="s">
        <v>10</v>
      </c>
      <c r="E453" t="s">
        <v>11</v>
      </c>
      <c r="F453" s="1" t="d">
        <v>2024-07-16</v>
      </c>
      <c r="I453" t="str">
        <f>VLOOKUP(D453,Table3[#All],2,FALSE)</f>
        <v>PfE</v>
      </c>
    </row>
    <row r="454" spans="1:9" x14ac:dyDescent="0.2">
      <c r="A454">
        <v>257097</v>
      </c>
      <c r="B454" t="s">
        <v>517</v>
      </c>
      <c r="C454" t="s">
        <v>25</v>
      </c>
      <c r="D454" t="s">
        <v>17</v>
      </c>
      <c r="E454" t="s">
        <v>11</v>
      </c>
      <c r="F454" s="1" t="d">
        <v>2024-07-16</v>
      </c>
      <c r="I454" t="str">
        <f>VLOOKUP(D454,Table3[#All],2,FALSE)</f>
        <v>ECR</v>
      </c>
    </row>
    <row r="455" spans="1:9" x14ac:dyDescent="0.2">
      <c r="A455">
        <v>197483</v>
      </c>
      <c r="B455" t="s">
        <v>518</v>
      </c>
      <c r="C455" t="s">
        <v>13</v>
      </c>
      <c r="D455" t="s">
        <v>146</v>
      </c>
      <c r="E455" t="s">
        <v>11</v>
      </c>
      <c r="F455" s="1" t="d">
        <v>2024-05-23</v>
      </c>
      <c r="G455" s="1" t="d">
        <v>2024-07-15</v>
      </c>
      <c r="I455" t="str">
        <f>VLOOKUP(D455,Table3[#All],2,FALSE)</f>
        <v>EPP</v>
      </c>
    </row>
    <row r="456" spans="1:9" x14ac:dyDescent="0.2">
      <c r="A456">
        <v>30123</v>
      </c>
      <c r="B456" t="s">
        <v>519</v>
      </c>
      <c r="C456" t="s">
        <v>58</v>
      </c>
      <c r="D456" t="s">
        <v>17</v>
      </c>
      <c r="E456" t="s">
        <v>11</v>
      </c>
      <c r="F456" s="1" t="d">
        <v>2024-07-16</v>
      </c>
      <c r="I456" t="str">
        <f>VLOOKUP(D456,Table3[#All],2,FALSE)</f>
        <v>ECR</v>
      </c>
    </row>
    <row r="457" spans="1:9" x14ac:dyDescent="0.2">
      <c r="A457">
        <v>256852</v>
      </c>
      <c r="B457" t="s">
        <v>520</v>
      </c>
      <c r="C457" t="s">
        <v>41</v>
      </c>
      <c r="D457" t="s">
        <v>49</v>
      </c>
      <c r="E457" t="s">
        <v>11</v>
      </c>
      <c r="F457" s="1" t="d">
        <v>2026-02-04</v>
      </c>
      <c r="I457" t="str">
        <f>VLOOKUP(D457,Table3[#All],2,FALSE)</f>
        <v>Non-attached</v>
      </c>
    </row>
    <row r="458" spans="1:9" x14ac:dyDescent="0.2">
      <c r="A458">
        <v>257262</v>
      </c>
      <c r="B458" t="s">
        <v>521</v>
      </c>
      <c r="C458" t="s">
        <v>16</v>
      </c>
      <c r="D458" t="s">
        <v>37</v>
      </c>
      <c r="E458" t="s">
        <v>11</v>
      </c>
      <c r="F458" s="1" t="d">
        <v>2024-07-16</v>
      </c>
      <c r="I458" t="str">
        <f>VLOOKUP(D458,Table3[#All],2,FALSE)</f>
        <v>ESN</v>
      </c>
    </row>
    <row r="459" spans="1:9" x14ac:dyDescent="0.2">
      <c r="A459">
        <v>197805</v>
      </c>
      <c r="B459" t="s">
        <v>522</v>
      </c>
      <c r="C459" t="s">
        <v>96</v>
      </c>
      <c r="D459" t="s">
        <v>23</v>
      </c>
      <c r="E459" t="s">
        <v>11</v>
      </c>
      <c r="F459" s="1" t="d">
        <v>2020-12-18</v>
      </c>
      <c r="G459" s="1" t="d">
        <v>2024-07-15</v>
      </c>
      <c r="I459" t="str">
        <f>VLOOKUP(D459,Table3[#All],2,FALSE)</f>
        <v>The Left</v>
      </c>
    </row>
    <row r="460" spans="1:9" x14ac:dyDescent="0.2">
      <c r="A460">
        <v>234344</v>
      </c>
      <c r="B460" t="s">
        <v>523</v>
      </c>
      <c r="C460" t="s">
        <v>58</v>
      </c>
      <c r="D460" t="s">
        <v>207</v>
      </c>
      <c r="E460" t="s">
        <v>11</v>
      </c>
      <c r="F460" s="1" t="d">
        <v>2022-05-20</v>
      </c>
      <c r="G460" s="1" t="d">
        <v>2024-07-15</v>
      </c>
      <c r="I460" t="str">
        <f>VLOOKUP(D460,Table3[#All],2,FALSE)</f>
        <v>Renew Europe</v>
      </c>
    </row>
    <row r="461" spans="1:9" x14ac:dyDescent="0.2">
      <c r="A461">
        <v>197405</v>
      </c>
      <c r="B461" t="s">
        <v>524</v>
      </c>
      <c r="C461" t="s">
        <v>71</v>
      </c>
      <c r="D461" t="s">
        <v>14</v>
      </c>
      <c r="E461" t="s">
        <v>11</v>
      </c>
      <c r="F461" s="1" t="d">
        <v>2024-07-16</v>
      </c>
      <c r="I461" t="str">
        <f>VLOOKUP(D461,Table3[#All],2,FALSE)</f>
        <v>EPP</v>
      </c>
    </row>
    <row r="462" spans="1:9" x14ac:dyDescent="0.2">
      <c r="A462">
        <v>197665</v>
      </c>
      <c r="B462" t="s">
        <v>525</v>
      </c>
      <c r="C462" t="s">
        <v>35</v>
      </c>
      <c r="D462" t="s">
        <v>207</v>
      </c>
      <c r="E462" t="s">
        <v>51</v>
      </c>
      <c r="F462" s="1" t="d">
        <v>2021-10-19</v>
      </c>
      <c r="G462" s="1" t="d">
        <v>2024-07-15</v>
      </c>
      <c r="I462" t="str">
        <f>VLOOKUP(D462,Table3[#All],2,FALSE)</f>
        <v>Renew Europe</v>
      </c>
    </row>
    <row r="463" spans="1:9" x14ac:dyDescent="0.2">
      <c r="A463">
        <v>257116</v>
      </c>
      <c r="B463" t="s">
        <v>526</v>
      </c>
      <c r="C463" t="s">
        <v>35</v>
      </c>
      <c r="D463" t="s">
        <v>17</v>
      </c>
      <c r="E463" t="s">
        <v>11</v>
      </c>
      <c r="F463" s="1" t="d">
        <v>2024-07-16</v>
      </c>
      <c r="I463" t="str">
        <f>VLOOKUP(D463,Table3[#All],2,FALSE)</f>
        <v>ECR</v>
      </c>
    </row>
    <row r="464" spans="1:9" x14ac:dyDescent="0.2">
      <c r="A464">
        <v>256947</v>
      </c>
      <c r="B464" t="s">
        <v>527</v>
      </c>
      <c r="C464" t="s">
        <v>48</v>
      </c>
      <c r="D464" t="s">
        <v>14</v>
      </c>
      <c r="E464" t="s">
        <v>11</v>
      </c>
      <c r="F464" s="1" t="d">
        <v>2024-07-16</v>
      </c>
      <c r="I464" t="str">
        <f>VLOOKUP(D464,Table3[#All],2,FALSE)</f>
        <v>EPP</v>
      </c>
    </row>
    <row r="465" spans="1:9" x14ac:dyDescent="0.2">
      <c r="A465">
        <v>197516</v>
      </c>
      <c r="B465" t="s">
        <v>528</v>
      </c>
      <c r="C465" t="s">
        <v>44</v>
      </c>
      <c r="D465" t="s">
        <v>17</v>
      </c>
      <c r="E465" t="s">
        <v>160</v>
      </c>
      <c r="F465" s="1" t="d">
        <v>2024-12-17</v>
      </c>
      <c r="I465" t="str">
        <f>VLOOKUP(D465,Table3[#All],2,FALSE)</f>
        <v>ECR</v>
      </c>
    </row>
    <row r="466" spans="1:9" x14ac:dyDescent="0.2">
      <c r="A466">
        <v>1294</v>
      </c>
      <c r="B466" t="s">
        <v>529</v>
      </c>
      <c r="C466" t="s">
        <v>114</v>
      </c>
      <c r="D466" t="s">
        <v>39</v>
      </c>
      <c r="E466" t="s">
        <v>11</v>
      </c>
      <c r="F466" s="1" t="d">
        <v>2024-07-16</v>
      </c>
      <c r="I466" t="str">
        <f>VLOOKUP(D466,Table3[#All],2,FALSE)</f>
        <v>S&amp;D</v>
      </c>
    </row>
    <row r="467" spans="1:9" x14ac:dyDescent="0.2">
      <c r="A467">
        <v>127766</v>
      </c>
      <c r="B467" t="s">
        <v>530</v>
      </c>
      <c r="C467" t="s">
        <v>96</v>
      </c>
      <c r="D467" t="s">
        <v>33</v>
      </c>
      <c r="E467" t="s">
        <v>11</v>
      </c>
      <c r="F467" s="1" t="d">
        <v>2024-07-16</v>
      </c>
      <c r="I467" t="str">
        <f>VLOOKUP(D467,Table3[#All],2,FALSE)</f>
        <v>The Left</v>
      </c>
    </row>
    <row r="468" spans="1:9" x14ac:dyDescent="0.2">
      <c r="A468">
        <v>257021</v>
      </c>
      <c r="B468" t="s">
        <v>531</v>
      </c>
      <c r="C468" t="s">
        <v>22</v>
      </c>
      <c r="D468" t="s">
        <v>17</v>
      </c>
      <c r="E468" t="s">
        <v>18</v>
      </c>
      <c r="F468" s="1" t="d">
        <v>2025-01-16</v>
      </c>
      <c r="I468" t="str">
        <f>VLOOKUP(D468,Table3[#All],2,FALSE)</f>
        <v>ECR</v>
      </c>
    </row>
    <row r="469" spans="1:9" x14ac:dyDescent="0.2">
      <c r="A469">
        <v>256938</v>
      </c>
      <c r="B469" t="s">
        <v>532</v>
      </c>
      <c r="C469" t="s">
        <v>13</v>
      </c>
      <c r="D469" t="s">
        <v>39</v>
      </c>
      <c r="E469" t="s">
        <v>11</v>
      </c>
      <c r="F469" s="1" t="d">
        <v>2024-07-16</v>
      </c>
      <c r="I469" t="str">
        <f>VLOOKUP(D469,Table3[#All],2,FALSE)</f>
        <v>S&amp;D</v>
      </c>
    </row>
    <row r="470" spans="1:9" x14ac:dyDescent="0.2">
      <c r="A470">
        <v>256912</v>
      </c>
      <c r="B470" t="s">
        <v>533</v>
      </c>
      <c r="C470" t="s">
        <v>58</v>
      </c>
      <c r="D470" t="s">
        <v>33</v>
      </c>
      <c r="E470" t="s">
        <v>11</v>
      </c>
      <c r="F470" s="1" t="d">
        <v>2024-07-16</v>
      </c>
      <c r="I470" t="str">
        <f>VLOOKUP(D470,Table3[#All],2,FALSE)</f>
        <v>The Left</v>
      </c>
    </row>
    <row r="471" spans="1:9" x14ac:dyDescent="0.2">
      <c r="A471">
        <v>99945</v>
      </c>
      <c r="B471" t="s">
        <v>534</v>
      </c>
      <c r="C471" t="s">
        <v>13</v>
      </c>
      <c r="D471" t="s">
        <v>14</v>
      </c>
      <c r="E471" t="s">
        <v>11</v>
      </c>
      <c r="F471" s="1" t="d">
        <v>2024-07-16</v>
      </c>
      <c r="I471" t="str">
        <f>VLOOKUP(D471,Table3[#All],2,FALSE)</f>
        <v>EPP</v>
      </c>
    </row>
    <row r="472" spans="1:9" x14ac:dyDescent="0.2">
      <c r="A472">
        <v>256939</v>
      </c>
      <c r="B472" t="s">
        <v>535</v>
      </c>
      <c r="C472" t="s">
        <v>13</v>
      </c>
      <c r="D472" t="s">
        <v>49</v>
      </c>
      <c r="E472" t="s">
        <v>11</v>
      </c>
      <c r="F472" s="1" t="d">
        <v>2024-07-16</v>
      </c>
      <c r="I472" t="str">
        <f>VLOOKUP(D472,Table3[#All],2,FALSE)</f>
        <v>Non-attached</v>
      </c>
    </row>
    <row r="473" spans="1:9" x14ac:dyDescent="0.2">
      <c r="A473">
        <v>124985</v>
      </c>
      <c r="B473" t="s">
        <v>536</v>
      </c>
      <c r="C473" t="s">
        <v>69</v>
      </c>
      <c r="D473" t="s">
        <v>33</v>
      </c>
      <c r="E473" t="s">
        <v>18</v>
      </c>
      <c r="F473" s="1" t="d">
        <v>2024-07-18</v>
      </c>
      <c r="I473" t="str">
        <f>VLOOKUP(D473,Table3[#All],2,FALSE)</f>
        <v>The Left</v>
      </c>
    </row>
    <row r="474" spans="1:9" x14ac:dyDescent="0.2">
      <c r="A474">
        <v>197440</v>
      </c>
      <c r="B474" t="s">
        <v>537</v>
      </c>
      <c r="C474" t="s">
        <v>13</v>
      </c>
      <c r="D474" t="s">
        <v>39</v>
      </c>
      <c r="E474" t="s">
        <v>11</v>
      </c>
      <c r="F474" s="1" t="d">
        <v>2024-07-16</v>
      </c>
      <c r="I474" t="str">
        <f>VLOOKUP(D474,Table3[#All],2,FALSE)</f>
        <v>S&amp;D</v>
      </c>
    </row>
    <row r="475" spans="1:9" x14ac:dyDescent="0.2">
      <c r="A475">
        <v>257064</v>
      </c>
      <c r="B475" t="s">
        <v>538</v>
      </c>
      <c r="C475" t="s">
        <v>44</v>
      </c>
      <c r="D475" t="s">
        <v>10</v>
      </c>
      <c r="E475" t="s">
        <v>11</v>
      </c>
      <c r="F475" s="1" t="d">
        <v>2024-10-01</v>
      </c>
      <c r="I475" t="str">
        <f>VLOOKUP(D475,Table3[#All],2,FALSE)</f>
        <v>PfE</v>
      </c>
    </row>
    <row r="476" spans="1:9" x14ac:dyDescent="0.2">
      <c r="A476">
        <v>97236</v>
      </c>
      <c r="B476" t="s">
        <v>539</v>
      </c>
      <c r="C476" t="s">
        <v>58</v>
      </c>
      <c r="D476" t="s">
        <v>20</v>
      </c>
      <c r="E476" t="s">
        <v>51</v>
      </c>
      <c r="F476" s="1" t="d">
        <v>2024-11-13</v>
      </c>
      <c r="I476" t="str">
        <f>VLOOKUP(D476,Table3[#All],2,FALSE)</f>
        <v>Greens/EFA</v>
      </c>
    </row>
    <row r="477" spans="1:9" x14ac:dyDescent="0.2">
      <c r="A477">
        <v>4465</v>
      </c>
      <c r="B477" t="s">
        <v>540</v>
      </c>
      <c r="C477" t="s">
        <v>25</v>
      </c>
      <c r="D477" t="s">
        <v>80</v>
      </c>
      <c r="E477" t="s">
        <v>541</v>
      </c>
      <c r="F477" s="1" t="d">
        <v>2019-07-02</v>
      </c>
      <c r="G477" s="1" t="d">
        <v>2022-10-12</v>
      </c>
      <c r="I477" t="str">
        <f>VLOOKUP(D477,Table3[#All],2,FALSE)</f>
        <v>ECR</v>
      </c>
    </row>
    <row r="478" spans="1:9" x14ac:dyDescent="0.2">
      <c r="A478">
        <v>40224</v>
      </c>
      <c r="B478" t="s">
        <v>542</v>
      </c>
      <c r="C478" t="s">
        <v>35</v>
      </c>
      <c r="D478" t="s">
        <v>39</v>
      </c>
      <c r="E478" t="s">
        <v>11</v>
      </c>
      <c r="F478" s="1" t="d">
        <v>2024-12-02</v>
      </c>
      <c r="I478" t="str">
        <f>VLOOKUP(D478,Table3[#All],2,FALSE)</f>
        <v>S&amp;D</v>
      </c>
    </row>
    <row r="479" spans="1:9" x14ac:dyDescent="0.2">
      <c r="A479">
        <v>257043</v>
      </c>
      <c r="B479" t="s">
        <v>543</v>
      </c>
      <c r="C479" t="s">
        <v>22</v>
      </c>
      <c r="D479" t="s">
        <v>14</v>
      </c>
      <c r="E479" t="s">
        <v>11</v>
      </c>
      <c r="F479" s="1" t="d">
        <v>2024-07-16</v>
      </c>
      <c r="I479" t="str">
        <f>VLOOKUP(D479,Table3[#All],2,FALSE)</f>
        <v>EPP</v>
      </c>
    </row>
    <row r="480" spans="1:9" x14ac:dyDescent="0.2">
      <c r="A480">
        <v>4746</v>
      </c>
      <c r="B480" t="s">
        <v>544</v>
      </c>
      <c r="C480" t="s">
        <v>25</v>
      </c>
      <c r="D480" t="s">
        <v>17</v>
      </c>
      <c r="E480" t="s">
        <v>11</v>
      </c>
      <c r="F480" s="1" t="d">
        <v>2024-07-16</v>
      </c>
      <c r="I480" t="str">
        <f>VLOOKUP(D480,Table3[#All],2,FALSE)</f>
        <v>ECR</v>
      </c>
    </row>
    <row r="481" spans="1:9" x14ac:dyDescent="0.2">
      <c r="A481">
        <v>257117</v>
      </c>
      <c r="B481" t="s">
        <v>545</v>
      </c>
      <c r="C481" t="s">
        <v>35</v>
      </c>
      <c r="D481" t="s">
        <v>17</v>
      </c>
      <c r="E481" t="s">
        <v>18</v>
      </c>
      <c r="F481" s="1" t="d">
        <v>2024-12-17</v>
      </c>
      <c r="I481" t="str">
        <f>VLOOKUP(D481,Table3[#All],2,FALSE)</f>
        <v>ECR</v>
      </c>
    </row>
    <row r="482" spans="1:9" x14ac:dyDescent="0.2">
      <c r="A482">
        <v>257049</v>
      </c>
      <c r="B482" t="s">
        <v>546</v>
      </c>
      <c r="C482" t="s">
        <v>44</v>
      </c>
      <c r="D482" t="s">
        <v>14</v>
      </c>
      <c r="E482" t="s">
        <v>11</v>
      </c>
      <c r="F482" s="1" t="d">
        <v>2024-07-16</v>
      </c>
      <c r="I482" t="str">
        <f>VLOOKUP(D482,Table3[#All],2,FALSE)</f>
        <v>EPP</v>
      </c>
    </row>
    <row r="483" spans="1:9" x14ac:dyDescent="0.2">
      <c r="A483">
        <v>257125</v>
      </c>
      <c r="B483" t="s">
        <v>547</v>
      </c>
      <c r="C483" t="s">
        <v>25</v>
      </c>
      <c r="D483" t="s">
        <v>37</v>
      </c>
      <c r="E483" t="s">
        <v>11</v>
      </c>
      <c r="F483" s="1" t="d">
        <v>2026-02-24</v>
      </c>
      <c r="I483" t="str">
        <f>VLOOKUP(D483,Table3[#All],2,FALSE)</f>
        <v>ESN</v>
      </c>
    </row>
    <row r="484" spans="1:9" x14ac:dyDescent="0.2">
      <c r="A484">
        <v>124866</v>
      </c>
      <c r="B484" t="s">
        <v>548</v>
      </c>
      <c r="C484" t="s">
        <v>16</v>
      </c>
      <c r="D484" t="s">
        <v>46</v>
      </c>
      <c r="E484" t="s">
        <v>18</v>
      </c>
      <c r="F484" s="1" t="d">
        <v>2024-07-16</v>
      </c>
      <c r="I484" t="str">
        <f>VLOOKUP(D484,Table3[#All],2,FALSE)</f>
        <v>Renew Europe</v>
      </c>
    </row>
    <row r="485" spans="1:9" x14ac:dyDescent="0.2">
      <c r="A485">
        <v>256954</v>
      </c>
      <c r="B485" t="s">
        <v>549</v>
      </c>
      <c r="C485" t="s">
        <v>48</v>
      </c>
      <c r="D485" t="s">
        <v>10</v>
      </c>
      <c r="E485" t="s">
        <v>18</v>
      </c>
      <c r="F485" s="1" t="d">
        <v>2024-07-16</v>
      </c>
      <c r="I485" t="str">
        <f>VLOOKUP(D485,Table3[#All],2,FALSE)</f>
        <v>PfE</v>
      </c>
    </row>
    <row r="486" spans="1:9" x14ac:dyDescent="0.2">
      <c r="A486">
        <v>239257</v>
      </c>
      <c r="B486" t="s">
        <v>550</v>
      </c>
      <c r="C486" t="s">
        <v>25</v>
      </c>
      <c r="D486" t="s">
        <v>180</v>
      </c>
      <c r="E486" t="s">
        <v>11</v>
      </c>
      <c r="F486" s="1" t="d">
        <v>2022-11-02</v>
      </c>
      <c r="G486" s="1" t="d">
        <v>2024-07-15</v>
      </c>
      <c r="I486" t="str">
        <f>VLOOKUP(D486,Table3[#All],2,FALSE)</f>
        <v>S&amp;D</v>
      </c>
    </row>
    <row r="487" spans="1:9" x14ac:dyDescent="0.2">
      <c r="A487">
        <v>197498</v>
      </c>
      <c r="B487" t="s">
        <v>551</v>
      </c>
      <c r="C487" t="s">
        <v>44</v>
      </c>
      <c r="D487" t="s">
        <v>39</v>
      </c>
      <c r="E487" t="s">
        <v>11</v>
      </c>
      <c r="F487" s="1" t="d">
        <v>2024-07-16</v>
      </c>
      <c r="I487" t="str">
        <f>VLOOKUP(D487,Table3[#All],2,FALSE)</f>
        <v>S&amp;D</v>
      </c>
    </row>
    <row r="488" spans="1:9" x14ac:dyDescent="0.2">
      <c r="A488">
        <v>257088</v>
      </c>
      <c r="B488" t="s">
        <v>552</v>
      </c>
      <c r="C488" t="s">
        <v>71</v>
      </c>
      <c r="D488" t="s">
        <v>39</v>
      </c>
      <c r="E488" t="s">
        <v>11</v>
      </c>
      <c r="F488" s="1" t="d">
        <v>2024-07-16</v>
      </c>
      <c r="I488" t="str">
        <f>VLOOKUP(D488,Table3[#All],2,FALSE)</f>
        <v>S&amp;D</v>
      </c>
    </row>
    <row r="489" spans="1:9" x14ac:dyDescent="0.2">
      <c r="A489">
        <v>256901</v>
      </c>
      <c r="B489" t="s">
        <v>553</v>
      </c>
      <c r="C489" t="s">
        <v>58</v>
      </c>
      <c r="D489" t="s">
        <v>39</v>
      </c>
      <c r="E489" t="s">
        <v>11</v>
      </c>
      <c r="F489" s="1" t="d">
        <v>2024-07-16</v>
      </c>
      <c r="I489" t="str">
        <f>VLOOKUP(D489,Table3[#All],2,FALSE)</f>
        <v>S&amp;D</v>
      </c>
    </row>
    <row r="490" spans="1:9" x14ac:dyDescent="0.2">
      <c r="A490">
        <v>197679</v>
      </c>
      <c r="B490" t="s">
        <v>554</v>
      </c>
      <c r="C490" t="s">
        <v>22</v>
      </c>
      <c r="D490" t="s">
        <v>14</v>
      </c>
      <c r="E490" t="s">
        <v>11</v>
      </c>
      <c r="F490" s="1" t="d">
        <v>2024-07-16</v>
      </c>
      <c r="I490" t="str">
        <f>VLOOKUP(D490,Table3[#All],2,FALSE)</f>
        <v>EPP</v>
      </c>
    </row>
    <row r="491" spans="1:9" x14ac:dyDescent="0.2">
      <c r="A491">
        <v>34232</v>
      </c>
      <c r="B491" t="s">
        <v>555</v>
      </c>
      <c r="C491" t="s">
        <v>16</v>
      </c>
      <c r="D491" t="s">
        <v>39</v>
      </c>
      <c r="E491" t="s">
        <v>11</v>
      </c>
      <c r="F491" s="1" t="d">
        <v>2024-07-16</v>
      </c>
      <c r="I491" t="str">
        <f>VLOOKUP(D491,Table3[#All],2,FALSE)</f>
        <v>S&amp;D</v>
      </c>
    </row>
    <row r="492" spans="1:9" x14ac:dyDescent="0.2">
      <c r="A492">
        <v>124833</v>
      </c>
      <c r="B492" t="s">
        <v>556</v>
      </c>
      <c r="C492" t="s">
        <v>25</v>
      </c>
      <c r="D492" t="s">
        <v>146</v>
      </c>
      <c r="E492" t="s">
        <v>11</v>
      </c>
      <c r="F492" s="1" t="d">
        <v>2019-07-02</v>
      </c>
      <c r="G492" s="1" t="d">
        <v>2024-07-15</v>
      </c>
      <c r="I492" t="str">
        <f>VLOOKUP(D492,Table3[#All],2,FALSE)</f>
        <v>EPP</v>
      </c>
    </row>
    <row r="493" spans="1:9" x14ac:dyDescent="0.2">
      <c r="A493">
        <v>257123</v>
      </c>
      <c r="B493" t="s">
        <v>557</v>
      </c>
      <c r="C493" t="s">
        <v>25</v>
      </c>
      <c r="D493" t="s">
        <v>39</v>
      </c>
      <c r="E493" t="s">
        <v>11</v>
      </c>
      <c r="F493" s="1" t="d">
        <v>2024-07-16</v>
      </c>
      <c r="I493" t="str">
        <f>VLOOKUP(D493,Table3[#All],2,FALSE)</f>
        <v>S&amp;D</v>
      </c>
    </row>
    <row r="494" spans="1:9" x14ac:dyDescent="0.2">
      <c r="A494">
        <v>256929</v>
      </c>
      <c r="B494" t="s">
        <v>558</v>
      </c>
      <c r="C494" t="s">
        <v>13</v>
      </c>
      <c r="D494" t="s">
        <v>37</v>
      </c>
      <c r="E494" t="s">
        <v>160</v>
      </c>
      <c r="F494" s="1" t="d">
        <v>2024-07-16</v>
      </c>
      <c r="I494" t="str">
        <f>VLOOKUP(D494,Table3[#All],2,FALSE)</f>
        <v>ESN</v>
      </c>
    </row>
    <row r="495" spans="1:9" x14ac:dyDescent="0.2">
      <c r="A495">
        <v>125706</v>
      </c>
      <c r="B495" t="s">
        <v>559</v>
      </c>
      <c r="C495" t="s">
        <v>41</v>
      </c>
      <c r="D495" t="s">
        <v>29</v>
      </c>
      <c r="E495" t="s">
        <v>11</v>
      </c>
      <c r="F495" s="1" t="d">
        <v>2019-07-02</v>
      </c>
      <c r="G495" s="1" t="d">
        <v>2024-07-15</v>
      </c>
      <c r="I495" t="str">
        <f>VLOOKUP(D495,Table3[#All],2,FALSE)</f>
        <v>EPP</v>
      </c>
    </row>
    <row r="496" spans="1:9" x14ac:dyDescent="0.2">
      <c r="A496">
        <v>197446</v>
      </c>
      <c r="B496" t="s">
        <v>560</v>
      </c>
      <c r="C496" t="s">
        <v>148</v>
      </c>
      <c r="D496" t="s">
        <v>180</v>
      </c>
      <c r="E496" t="s">
        <v>11</v>
      </c>
      <c r="F496" s="1" t="d">
        <v>2019-07-02</v>
      </c>
      <c r="G496" s="1" t="d">
        <v>2024-07-15</v>
      </c>
      <c r="I496" t="str">
        <f>VLOOKUP(D496,Table3[#All],2,FALSE)</f>
        <v>S&amp;D</v>
      </c>
    </row>
    <row r="497" spans="1:9" x14ac:dyDescent="0.2">
      <c r="A497">
        <v>4344</v>
      </c>
      <c r="B497" t="s">
        <v>561</v>
      </c>
      <c r="C497" t="s">
        <v>22</v>
      </c>
      <c r="D497" t="s">
        <v>207</v>
      </c>
      <c r="E497" t="s">
        <v>11</v>
      </c>
      <c r="F497" s="1" t="d">
        <v>2019-07-02</v>
      </c>
      <c r="G497" s="1" t="d">
        <v>2024-07-15</v>
      </c>
      <c r="I497" t="str">
        <f>VLOOKUP(D497,Table3[#All],2,FALSE)</f>
        <v>Renew Europe</v>
      </c>
    </row>
    <row r="498" spans="1:9" x14ac:dyDescent="0.2">
      <c r="A498">
        <v>193292</v>
      </c>
      <c r="B498" t="s">
        <v>562</v>
      </c>
      <c r="C498" t="s">
        <v>314</v>
      </c>
      <c r="D498" t="s">
        <v>20</v>
      </c>
      <c r="E498" t="s">
        <v>11</v>
      </c>
      <c r="F498" s="1" t="d">
        <v>2024-07-16</v>
      </c>
      <c r="I498" t="str">
        <f>VLOOKUP(D498,Table3[#All],2,FALSE)</f>
        <v>Greens/EFA</v>
      </c>
    </row>
    <row r="499" spans="1:9" x14ac:dyDescent="0.2">
      <c r="A499">
        <v>98219</v>
      </c>
      <c r="B499" t="s">
        <v>563</v>
      </c>
      <c r="C499" t="s">
        <v>96</v>
      </c>
      <c r="D499" t="s">
        <v>14</v>
      </c>
      <c r="E499" t="s">
        <v>11</v>
      </c>
      <c r="F499" s="1" t="d">
        <v>2024-07-16</v>
      </c>
      <c r="I499" t="str">
        <f>VLOOKUP(D499,Table3[#All],2,FALSE)</f>
        <v>EPP</v>
      </c>
    </row>
    <row r="500" spans="1:9" x14ac:dyDescent="0.2">
      <c r="A500">
        <v>124697</v>
      </c>
      <c r="B500" t="s">
        <v>564</v>
      </c>
      <c r="C500" t="s">
        <v>63</v>
      </c>
      <c r="D500" t="s">
        <v>565</v>
      </c>
      <c r="E500" t="s">
        <v>11</v>
      </c>
      <c r="F500" s="1" t="d">
        <v>2014-07-01</v>
      </c>
      <c r="G500" s="1" t="d">
        <v>2018-09-04</v>
      </c>
      <c r="I500" t="str">
        <f>VLOOKUP(D500,Table3[#All],2,FALSE)</f>
        <v>Renew Europe</v>
      </c>
    </row>
    <row r="501" spans="1:9" x14ac:dyDescent="0.2">
      <c r="A501">
        <v>197490</v>
      </c>
      <c r="B501" t="s">
        <v>566</v>
      </c>
      <c r="C501" t="s">
        <v>44</v>
      </c>
      <c r="D501" t="s">
        <v>14</v>
      </c>
      <c r="E501" t="s">
        <v>11</v>
      </c>
      <c r="F501" s="1" t="d">
        <v>2024-07-16</v>
      </c>
      <c r="I501" t="str">
        <f>VLOOKUP(D501,Table3[#All],2,FALSE)</f>
        <v>EPP</v>
      </c>
    </row>
    <row r="502" spans="1:9" x14ac:dyDescent="0.2">
      <c r="A502">
        <v>119435</v>
      </c>
      <c r="B502" t="s">
        <v>567</v>
      </c>
      <c r="C502" t="s">
        <v>79</v>
      </c>
      <c r="D502" t="s">
        <v>14</v>
      </c>
      <c r="E502" t="s">
        <v>11</v>
      </c>
      <c r="F502" s="1" t="d">
        <v>2024-07-16</v>
      </c>
      <c r="I502" t="str">
        <f>VLOOKUP(D502,Table3[#All],2,FALSE)</f>
        <v>EPP</v>
      </c>
    </row>
    <row r="503" spans="1:9" x14ac:dyDescent="0.2">
      <c r="A503">
        <v>197519</v>
      </c>
      <c r="B503" t="s">
        <v>568</v>
      </c>
      <c r="C503" t="s">
        <v>44</v>
      </c>
      <c r="D503" t="s">
        <v>80</v>
      </c>
      <c r="E503" t="s">
        <v>11</v>
      </c>
      <c r="F503" s="1" t="d">
        <v>2019-07-02</v>
      </c>
      <c r="G503" s="1" t="d">
        <v>2024-07-15</v>
      </c>
      <c r="I503" t="str">
        <f>VLOOKUP(D503,Table3[#All],2,FALSE)</f>
        <v>ECR</v>
      </c>
    </row>
    <row r="504" spans="1:9" x14ac:dyDescent="0.2">
      <c r="A504">
        <v>23816</v>
      </c>
      <c r="B504" t="s">
        <v>569</v>
      </c>
      <c r="C504" t="s">
        <v>108</v>
      </c>
      <c r="D504" t="s">
        <v>10</v>
      </c>
      <c r="E504" t="s">
        <v>11</v>
      </c>
      <c r="F504" s="1" t="d">
        <v>2024-07-16</v>
      </c>
      <c r="I504" t="str">
        <f>VLOOKUP(D504,Table3[#All],2,FALSE)</f>
        <v>PfE</v>
      </c>
    </row>
    <row r="505" spans="1:9" x14ac:dyDescent="0.2">
      <c r="A505">
        <v>256900</v>
      </c>
      <c r="B505" t="s">
        <v>570</v>
      </c>
      <c r="C505" t="s">
        <v>314</v>
      </c>
      <c r="D505" t="s">
        <v>49</v>
      </c>
      <c r="E505" t="s">
        <v>11</v>
      </c>
      <c r="F505" s="1" t="d">
        <v>2025-06-04</v>
      </c>
      <c r="I505" t="str">
        <f>VLOOKUP(D505,Table3[#All],2,FALSE)</f>
        <v>Non-attached</v>
      </c>
    </row>
    <row r="506" spans="1:9" x14ac:dyDescent="0.2">
      <c r="A506">
        <v>124861</v>
      </c>
      <c r="B506" t="s">
        <v>571</v>
      </c>
      <c r="C506" t="s">
        <v>25</v>
      </c>
      <c r="D506" t="s">
        <v>14</v>
      </c>
      <c r="E506" t="s">
        <v>11</v>
      </c>
      <c r="F506" s="1" t="d">
        <v>2024-07-16</v>
      </c>
      <c r="I506" t="str">
        <f>VLOOKUP(D506,Table3[#All],2,FALSE)</f>
        <v>EPP</v>
      </c>
    </row>
    <row r="507" spans="1:9" x14ac:dyDescent="0.2">
      <c r="A507">
        <v>257126</v>
      </c>
      <c r="B507" t="s">
        <v>572</v>
      </c>
      <c r="C507" t="s">
        <v>25</v>
      </c>
      <c r="D507" t="s">
        <v>33</v>
      </c>
      <c r="E507" t="s">
        <v>11</v>
      </c>
      <c r="F507" s="1" t="d">
        <v>2024-07-16</v>
      </c>
      <c r="I507" t="str">
        <f>VLOOKUP(D507,Table3[#All],2,FALSE)</f>
        <v>The Left</v>
      </c>
    </row>
    <row r="508" spans="1:9" x14ac:dyDescent="0.2">
      <c r="A508">
        <v>124877</v>
      </c>
      <c r="B508" t="s">
        <v>573</v>
      </c>
      <c r="C508" t="s">
        <v>44</v>
      </c>
      <c r="D508" t="s">
        <v>17</v>
      </c>
      <c r="E508" t="s">
        <v>11</v>
      </c>
      <c r="F508" s="1" t="d">
        <v>2024-07-16</v>
      </c>
      <c r="I508" t="str">
        <f>VLOOKUP(D508,Table3[#All],2,FALSE)</f>
        <v>ECR</v>
      </c>
    </row>
    <row r="509" spans="1:9" x14ac:dyDescent="0.2">
      <c r="A509">
        <v>197475</v>
      </c>
      <c r="B509" t="s">
        <v>574</v>
      </c>
      <c r="C509" t="s">
        <v>13</v>
      </c>
      <c r="D509" t="s">
        <v>37</v>
      </c>
      <c r="E509" t="s">
        <v>18</v>
      </c>
      <c r="F509" s="1" t="d">
        <v>2024-07-16</v>
      </c>
      <c r="I509" t="str">
        <f>VLOOKUP(D509,Table3[#All],2,FALSE)</f>
        <v>ESN</v>
      </c>
    </row>
    <row r="510" spans="1:9" x14ac:dyDescent="0.2">
      <c r="A510">
        <v>197444</v>
      </c>
      <c r="B510" t="s">
        <v>575</v>
      </c>
      <c r="C510" t="s">
        <v>13</v>
      </c>
      <c r="D510" t="s">
        <v>46</v>
      </c>
      <c r="E510" t="s">
        <v>11</v>
      </c>
      <c r="F510" s="1" t="d">
        <v>2024-07-16</v>
      </c>
      <c r="I510" t="str">
        <f>VLOOKUP(D510,Table3[#All],2,FALSE)</f>
        <v>Renew Europe</v>
      </c>
    </row>
    <row r="511" spans="1:9" x14ac:dyDescent="0.2">
      <c r="A511">
        <v>197734</v>
      </c>
      <c r="B511" t="s">
        <v>576</v>
      </c>
      <c r="C511" t="s">
        <v>48</v>
      </c>
      <c r="D511" t="s">
        <v>49</v>
      </c>
      <c r="E511" t="s">
        <v>11</v>
      </c>
      <c r="F511" s="1" t="d">
        <v>2024-07-16</v>
      </c>
      <c r="I511" t="str">
        <f>VLOOKUP(D511,Table3[#All],2,FALSE)</f>
        <v>Non-attached</v>
      </c>
    </row>
    <row r="512" spans="1:9" x14ac:dyDescent="0.2">
      <c r="A512">
        <v>197863</v>
      </c>
      <c r="B512" t="s">
        <v>577</v>
      </c>
      <c r="C512" t="s">
        <v>69</v>
      </c>
      <c r="D512" t="s">
        <v>14</v>
      </c>
      <c r="E512" t="s">
        <v>11</v>
      </c>
      <c r="F512" s="1" t="d">
        <v>2024-07-16</v>
      </c>
      <c r="I512" t="str">
        <f>VLOOKUP(D512,Table3[#All],2,FALSE)</f>
        <v>EPP</v>
      </c>
    </row>
    <row r="513" spans="1:9" x14ac:dyDescent="0.2">
      <c r="A513">
        <v>197438</v>
      </c>
      <c r="B513" t="s">
        <v>578</v>
      </c>
      <c r="C513" t="s">
        <v>79</v>
      </c>
      <c r="D513" t="s">
        <v>146</v>
      </c>
      <c r="E513" t="s">
        <v>11</v>
      </c>
      <c r="F513" s="1" t="d">
        <v>2019-07-02</v>
      </c>
      <c r="G513" s="1" t="d">
        <v>2024-07-15</v>
      </c>
      <c r="I513" t="str">
        <f>VLOOKUP(D513,Table3[#All],2,FALSE)</f>
        <v>EPP</v>
      </c>
    </row>
    <row r="514" spans="1:9" x14ac:dyDescent="0.2">
      <c r="A514">
        <v>256936</v>
      </c>
      <c r="B514" t="s">
        <v>579</v>
      </c>
      <c r="C514" t="s">
        <v>73</v>
      </c>
      <c r="D514" t="s">
        <v>39</v>
      </c>
      <c r="E514" t="s">
        <v>11</v>
      </c>
      <c r="F514" s="1" t="d">
        <v>2024-07-16</v>
      </c>
      <c r="I514" t="str">
        <f>VLOOKUP(D514,Table3[#All],2,FALSE)</f>
        <v>S&amp;D</v>
      </c>
    </row>
    <row r="515" spans="1:9" x14ac:dyDescent="0.2">
      <c r="A515">
        <v>257131</v>
      </c>
      <c r="B515" t="s">
        <v>580</v>
      </c>
      <c r="C515" t="s">
        <v>25</v>
      </c>
      <c r="D515" t="s">
        <v>10</v>
      </c>
      <c r="E515" t="s">
        <v>11</v>
      </c>
      <c r="F515" s="1" t="d">
        <v>2024-07-16</v>
      </c>
      <c r="I515" t="str">
        <f>VLOOKUP(D515,Table3[#All],2,FALSE)</f>
        <v>PfE</v>
      </c>
    </row>
    <row r="516" spans="1:9" x14ac:dyDescent="0.2">
      <c r="A516">
        <v>256858</v>
      </c>
      <c r="B516" t="s">
        <v>581</v>
      </c>
      <c r="C516" t="s">
        <v>48</v>
      </c>
      <c r="D516" t="s">
        <v>49</v>
      </c>
      <c r="E516" t="s">
        <v>11</v>
      </c>
      <c r="F516" s="1" t="d">
        <v>2024-07-16</v>
      </c>
      <c r="I516" t="str">
        <f>VLOOKUP(D516,Table3[#All],2,FALSE)</f>
        <v>Non-attached</v>
      </c>
    </row>
    <row r="517" spans="1:9" x14ac:dyDescent="0.2">
      <c r="A517">
        <v>124708</v>
      </c>
      <c r="B517" t="s">
        <v>582</v>
      </c>
      <c r="C517" t="s">
        <v>41</v>
      </c>
      <c r="D517" t="s">
        <v>207</v>
      </c>
      <c r="E517" t="s">
        <v>11</v>
      </c>
      <c r="F517" s="1" t="d">
        <v>2019-07-02</v>
      </c>
      <c r="G517" s="1" t="d">
        <v>2024-07-15</v>
      </c>
      <c r="I517" t="str">
        <f>VLOOKUP(D517,Table3[#All],2,FALSE)</f>
        <v>Renew Europe</v>
      </c>
    </row>
    <row r="518" spans="1:9" x14ac:dyDescent="0.2">
      <c r="A518">
        <v>256992</v>
      </c>
      <c r="B518" t="s">
        <v>583</v>
      </c>
      <c r="C518" t="s">
        <v>22</v>
      </c>
      <c r="D518" t="s">
        <v>39</v>
      </c>
      <c r="E518" t="s">
        <v>11</v>
      </c>
      <c r="F518" s="1" t="d">
        <v>2024-07-16</v>
      </c>
      <c r="I518" t="str">
        <f>VLOOKUP(D518,Table3[#All],2,FALSE)</f>
        <v>S&amp;D</v>
      </c>
    </row>
    <row r="519" spans="1:9" x14ac:dyDescent="0.2">
      <c r="A519">
        <v>197563</v>
      </c>
      <c r="B519" t="s">
        <v>584</v>
      </c>
      <c r="C519" t="s">
        <v>96</v>
      </c>
      <c r="D519" t="s">
        <v>207</v>
      </c>
      <c r="E519" t="s">
        <v>11</v>
      </c>
      <c r="F519" s="1" t="d">
        <v>2019-07-02</v>
      </c>
      <c r="G519" s="1" t="d">
        <v>2024-07-15</v>
      </c>
      <c r="I519" t="str">
        <f>VLOOKUP(D519,Table3[#All],2,FALSE)</f>
        <v>Renew Europe</v>
      </c>
    </row>
    <row r="520" spans="1:9" x14ac:dyDescent="0.2">
      <c r="A520">
        <v>257053</v>
      </c>
      <c r="B520" t="s">
        <v>585</v>
      </c>
      <c r="C520" t="s">
        <v>53</v>
      </c>
      <c r="D520" t="s">
        <v>39</v>
      </c>
      <c r="E520" t="s">
        <v>51</v>
      </c>
      <c r="F520" s="1" t="d">
        <v>2024-07-16</v>
      </c>
      <c r="I520" t="str">
        <f>VLOOKUP(D520,Table3[#All],2,FALSE)</f>
        <v>S&amp;D</v>
      </c>
    </row>
    <row r="521" spans="1:9" x14ac:dyDescent="0.2">
      <c r="A521">
        <v>197453</v>
      </c>
      <c r="B521" t="s">
        <v>586</v>
      </c>
      <c r="C521" t="s">
        <v>13</v>
      </c>
      <c r="D521" t="s">
        <v>158</v>
      </c>
      <c r="E521" t="s">
        <v>11</v>
      </c>
      <c r="F521" s="1" t="d">
        <v>2019-07-02</v>
      </c>
      <c r="G521" s="1" t="d">
        <v>2024-07-15</v>
      </c>
      <c r="I521" t="str">
        <f>VLOOKUP(D521,Table3[#All],2,FALSE)</f>
        <v>Greens/EFA</v>
      </c>
    </row>
    <row r="522" spans="1:9" x14ac:dyDescent="0.2">
      <c r="A522">
        <v>257065</v>
      </c>
      <c r="B522" t="s">
        <v>587</v>
      </c>
      <c r="C522" t="s">
        <v>53</v>
      </c>
      <c r="D522" t="s">
        <v>14</v>
      </c>
      <c r="E522" t="s">
        <v>11</v>
      </c>
      <c r="F522" s="1" t="d">
        <v>2024-07-16</v>
      </c>
      <c r="I522" t="str">
        <f>VLOOKUP(D522,Table3[#All],2,FALSE)</f>
        <v>EPP</v>
      </c>
    </row>
    <row r="523" spans="1:9" x14ac:dyDescent="0.2">
      <c r="A523">
        <v>197408</v>
      </c>
      <c r="B523" t="s">
        <v>588</v>
      </c>
      <c r="C523" t="s">
        <v>13</v>
      </c>
      <c r="D523" t="s">
        <v>14</v>
      </c>
      <c r="E523" t="s">
        <v>11</v>
      </c>
      <c r="F523" s="1" t="d">
        <v>2024-07-16</v>
      </c>
      <c r="I523" t="str">
        <f>VLOOKUP(D523,Table3[#All],2,FALSE)</f>
        <v>EPP</v>
      </c>
    </row>
    <row r="524" spans="1:9" x14ac:dyDescent="0.2">
      <c r="A524">
        <v>256872</v>
      </c>
      <c r="B524" t="s">
        <v>589</v>
      </c>
      <c r="C524" t="s">
        <v>58</v>
      </c>
      <c r="D524" t="s">
        <v>10</v>
      </c>
      <c r="E524" t="s">
        <v>11</v>
      </c>
      <c r="F524" s="1" t="d">
        <v>2024-07-16</v>
      </c>
      <c r="I524" t="str">
        <f>VLOOKUP(D524,Table3[#All],2,FALSE)</f>
        <v>PfE</v>
      </c>
    </row>
    <row r="525" spans="1:9" x14ac:dyDescent="0.2">
      <c r="A525">
        <v>257031</v>
      </c>
      <c r="B525" t="s">
        <v>590</v>
      </c>
      <c r="C525" t="s">
        <v>44</v>
      </c>
      <c r="D525" t="s">
        <v>14</v>
      </c>
      <c r="E525" t="s">
        <v>11</v>
      </c>
      <c r="F525" s="1" t="d">
        <v>2024-07-16</v>
      </c>
      <c r="I525" t="str">
        <f>VLOOKUP(D525,Table3[#All],2,FALSE)</f>
        <v>EPP</v>
      </c>
    </row>
    <row r="526" spans="1:9" x14ac:dyDescent="0.2">
      <c r="A526">
        <v>197536</v>
      </c>
      <c r="B526" t="s">
        <v>591</v>
      </c>
      <c r="C526" t="s">
        <v>58</v>
      </c>
      <c r="D526" t="s">
        <v>29</v>
      </c>
      <c r="E526" t="s">
        <v>11</v>
      </c>
      <c r="F526" s="1" t="d">
        <v>2019-07-02</v>
      </c>
      <c r="G526" s="1" t="d">
        <v>2024-07-15</v>
      </c>
      <c r="I526" t="str">
        <f>VLOOKUP(D526,Table3[#All],2,FALSE)</f>
        <v>EPP</v>
      </c>
    </row>
    <row r="527" spans="1:9" x14ac:dyDescent="0.2">
      <c r="A527">
        <v>197447</v>
      </c>
      <c r="B527" t="s">
        <v>592</v>
      </c>
      <c r="C527" t="s">
        <v>148</v>
      </c>
      <c r="D527" t="s">
        <v>46</v>
      </c>
      <c r="E527" t="s">
        <v>18</v>
      </c>
      <c r="F527" s="1" t="d">
        <v>2024-07-16</v>
      </c>
      <c r="I527" t="str">
        <f>VLOOKUP(D527,Table3[#All],2,FALSE)</f>
        <v>Renew Europe</v>
      </c>
    </row>
    <row r="528" spans="1:9" x14ac:dyDescent="0.2">
      <c r="A528">
        <v>257015</v>
      </c>
      <c r="B528" t="s">
        <v>593</v>
      </c>
      <c r="C528" t="s">
        <v>22</v>
      </c>
      <c r="D528" t="s">
        <v>20</v>
      </c>
      <c r="E528" t="s">
        <v>11</v>
      </c>
      <c r="F528" s="1" t="d">
        <v>2024-07-16</v>
      </c>
      <c r="I528" t="str">
        <f>VLOOKUP(D528,Table3[#All],2,FALSE)</f>
        <v>Greens/EFA</v>
      </c>
    </row>
    <row r="529" spans="1:9" x14ac:dyDescent="0.2">
      <c r="A529">
        <v>249982</v>
      </c>
      <c r="B529" t="s">
        <v>594</v>
      </c>
      <c r="C529" t="s">
        <v>191</v>
      </c>
      <c r="D529" t="s">
        <v>37</v>
      </c>
      <c r="E529" t="s">
        <v>11</v>
      </c>
      <c r="F529" s="1" t="d">
        <v>2025-01-22</v>
      </c>
      <c r="I529" t="str">
        <f>VLOOKUP(D529,Table3[#All],2,FALSE)</f>
        <v>ESN</v>
      </c>
    </row>
    <row r="530" spans="1:9" x14ac:dyDescent="0.2">
      <c r="A530">
        <v>197395</v>
      </c>
      <c r="B530" t="s">
        <v>595</v>
      </c>
      <c r="C530" t="s">
        <v>71</v>
      </c>
      <c r="D530" t="s">
        <v>20</v>
      </c>
      <c r="E530" t="s">
        <v>51</v>
      </c>
      <c r="F530" s="1" t="d">
        <v>2024-11-13</v>
      </c>
      <c r="I530" t="str">
        <f>VLOOKUP(D530,Table3[#All],2,FALSE)</f>
        <v>Greens/EFA</v>
      </c>
    </row>
    <row r="531" spans="1:9" x14ac:dyDescent="0.2">
      <c r="A531">
        <v>237465</v>
      </c>
      <c r="B531" t="s">
        <v>596</v>
      </c>
      <c r="C531" t="s">
        <v>13</v>
      </c>
      <c r="D531" t="s">
        <v>39</v>
      </c>
      <c r="E531" t="s">
        <v>11</v>
      </c>
      <c r="F531" s="1" t="d">
        <v>2024-07-16</v>
      </c>
      <c r="I531" t="str">
        <f>VLOOKUP(D531,Table3[#All],2,FALSE)</f>
        <v>S&amp;D</v>
      </c>
    </row>
    <row r="532" spans="1:9" x14ac:dyDescent="0.2">
      <c r="A532">
        <v>256805</v>
      </c>
      <c r="B532" t="s">
        <v>597</v>
      </c>
      <c r="C532" t="s">
        <v>96</v>
      </c>
      <c r="D532" t="s">
        <v>33</v>
      </c>
      <c r="E532" t="s">
        <v>18</v>
      </c>
      <c r="F532" s="1" t="d">
        <v>2024-07-18</v>
      </c>
      <c r="I532" t="str">
        <f>VLOOKUP(D532,Table3[#All],2,FALSE)</f>
        <v>The Left</v>
      </c>
    </row>
    <row r="533" spans="1:9" x14ac:dyDescent="0.2">
      <c r="A533">
        <v>257040</v>
      </c>
      <c r="B533" t="s">
        <v>598</v>
      </c>
      <c r="C533" t="s">
        <v>22</v>
      </c>
      <c r="D533" t="s">
        <v>14</v>
      </c>
      <c r="E533" t="s">
        <v>11</v>
      </c>
      <c r="F533" s="1" t="d">
        <v>2024-07-16</v>
      </c>
      <c r="I533" t="str">
        <f>VLOOKUP(D533,Table3[#All],2,FALSE)</f>
        <v>EPP</v>
      </c>
    </row>
    <row r="534" spans="1:9" x14ac:dyDescent="0.2">
      <c r="A534">
        <v>28399</v>
      </c>
      <c r="B534" t="s">
        <v>599</v>
      </c>
      <c r="C534" t="s">
        <v>22</v>
      </c>
      <c r="D534" t="s">
        <v>14</v>
      </c>
      <c r="E534" t="s">
        <v>11</v>
      </c>
      <c r="F534" s="1" t="d">
        <v>2024-07-16</v>
      </c>
      <c r="I534" t="str">
        <f>VLOOKUP(D534,Table3[#All],2,FALSE)</f>
        <v>EPP</v>
      </c>
    </row>
    <row r="535" spans="1:9" x14ac:dyDescent="0.2">
      <c r="A535">
        <v>197522</v>
      </c>
      <c r="B535" t="s">
        <v>600</v>
      </c>
      <c r="C535" t="s">
        <v>41</v>
      </c>
      <c r="D535" t="s">
        <v>180</v>
      </c>
      <c r="E535" t="s">
        <v>11</v>
      </c>
      <c r="F535" s="1" t="d">
        <v>2021-03-24</v>
      </c>
      <c r="G535" s="1" t="d">
        <v>2024-07-15</v>
      </c>
      <c r="I535" t="str">
        <f>VLOOKUP(D535,Table3[#All],2,FALSE)</f>
        <v>S&amp;D</v>
      </c>
    </row>
    <row r="536" spans="1:9" x14ac:dyDescent="0.2">
      <c r="A536">
        <v>4560</v>
      </c>
      <c r="B536" t="s">
        <v>601</v>
      </c>
      <c r="C536" t="s">
        <v>9</v>
      </c>
      <c r="D536" t="s">
        <v>29</v>
      </c>
      <c r="E536" t="s">
        <v>11</v>
      </c>
      <c r="F536" s="1" t="d">
        <v>2019-07-02</v>
      </c>
      <c r="G536" s="1" t="d">
        <v>2024-07-15</v>
      </c>
      <c r="I536" t="str">
        <f>VLOOKUP(D536,Table3[#All],2,FALSE)</f>
        <v>EPP</v>
      </c>
    </row>
    <row r="537" spans="1:9" x14ac:dyDescent="0.2">
      <c r="A537">
        <v>197580</v>
      </c>
      <c r="B537" t="s">
        <v>602</v>
      </c>
      <c r="C537" t="s">
        <v>25</v>
      </c>
      <c r="D537" t="s">
        <v>10</v>
      </c>
      <c r="E537" t="s">
        <v>11</v>
      </c>
      <c r="F537" s="1" t="d">
        <v>2024-07-16</v>
      </c>
      <c r="I537" t="str">
        <f>VLOOKUP(D537,Table3[#All],2,FALSE)</f>
        <v>PfE</v>
      </c>
    </row>
    <row r="538" spans="1:9" x14ac:dyDescent="0.2">
      <c r="A538">
        <v>5392</v>
      </c>
      <c r="B538" t="s">
        <v>603</v>
      </c>
      <c r="C538" t="s">
        <v>9</v>
      </c>
      <c r="D538" t="s">
        <v>39</v>
      </c>
      <c r="E538" t="s">
        <v>11</v>
      </c>
      <c r="F538" s="1" t="d">
        <v>2024-07-16</v>
      </c>
      <c r="I538" t="str">
        <f>VLOOKUP(D538,Table3[#All],2,FALSE)</f>
        <v>S&amp;D</v>
      </c>
    </row>
    <row r="539" spans="1:9" x14ac:dyDescent="0.2">
      <c r="A539">
        <v>256978</v>
      </c>
      <c r="B539" t="s">
        <v>604</v>
      </c>
      <c r="C539" t="s">
        <v>9</v>
      </c>
      <c r="D539" t="s">
        <v>20</v>
      </c>
      <c r="E539" t="s">
        <v>11</v>
      </c>
      <c r="F539" s="1" t="d">
        <v>2024-07-16</v>
      </c>
      <c r="I539" t="str">
        <f>VLOOKUP(D539,Table3[#All],2,FALSE)</f>
        <v>Greens/EFA</v>
      </c>
    </row>
    <row r="540" spans="1:9" x14ac:dyDescent="0.2">
      <c r="A540">
        <v>197800</v>
      </c>
      <c r="B540" t="s">
        <v>605</v>
      </c>
      <c r="C540" t="s">
        <v>96</v>
      </c>
      <c r="D540" t="s">
        <v>39</v>
      </c>
      <c r="E540" t="s">
        <v>466</v>
      </c>
      <c r="F540" s="1" t="d">
        <v>2024-07-16</v>
      </c>
      <c r="I540" t="str">
        <f>VLOOKUP(D540,Table3[#All],2,FALSE)</f>
        <v>S&amp;D</v>
      </c>
    </row>
    <row r="541" spans="1:9" x14ac:dyDescent="0.2">
      <c r="A541">
        <v>197398</v>
      </c>
      <c r="B541" t="s">
        <v>606</v>
      </c>
      <c r="C541" t="s">
        <v>71</v>
      </c>
      <c r="D541" t="s">
        <v>20</v>
      </c>
      <c r="E541" t="s">
        <v>11</v>
      </c>
      <c r="F541" s="1" t="d">
        <v>2024-07-16</v>
      </c>
      <c r="I541" t="str">
        <f>VLOOKUP(D541,Table3[#All],2,FALSE)</f>
        <v>Greens/EFA</v>
      </c>
    </row>
    <row r="542" spans="1:9" x14ac:dyDescent="0.2">
      <c r="A542">
        <v>37324</v>
      </c>
      <c r="B542" t="s">
        <v>607</v>
      </c>
      <c r="C542" t="s">
        <v>35</v>
      </c>
      <c r="D542" t="s">
        <v>14</v>
      </c>
      <c r="E542" t="s">
        <v>11</v>
      </c>
      <c r="F542" s="1" t="d">
        <v>2024-07-16</v>
      </c>
      <c r="I542" t="str">
        <f>VLOOKUP(D542,Table3[#All],2,FALSE)</f>
        <v>EPP</v>
      </c>
    </row>
    <row r="543" spans="1:9" x14ac:dyDescent="0.2">
      <c r="A543">
        <v>256913</v>
      </c>
      <c r="B543" t="s">
        <v>608</v>
      </c>
      <c r="C543" t="s">
        <v>58</v>
      </c>
      <c r="D543" t="s">
        <v>33</v>
      </c>
      <c r="E543" t="s">
        <v>11</v>
      </c>
      <c r="F543" s="1" t="d">
        <v>2024-07-16</v>
      </c>
      <c r="I543" t="str">
        <f>VLOOKUP(D543,Table3[#All],2,FALSE)</f>
        <v>The Left</v>
      </c>
    </row>
    <row r="544" spans="1:9" x14ac:dyDescent="0.2">
      <c r="A544">
        <v>257114</v>
      </c>
      <c r="B544" t="s">
        <v>609</v>
      </c>
      <c r="C544" t="s">
        <v>35</v>
      </c>
      <c r="D544" t="s">
        <v>17</v>
      </c>
      <c r="E544" t="s">
        <v>11</v>
      </c>
      <c r="F544" s="1" t="d">
        <v>2024-12-17</v>
      </c>
      <c r="I544" t="str">
        <f>VLOOKUP(D544,Table3[#All],2,FALSE)</f>
        <v>ECR</v>
      </c>
    </row>
    <row r="545" spans="1:9" x14ac:dyDescent="0.2">
      <c r="A545">
        <v>257094</v>
      </c>
      <c r="B545" t="s">
        <v>610</v>
      </c>
      <c r="C545" t="s">
        <v>25</v>
      </c>
      <c r="D545" t="s">
        <v>17</v>
      </c>
      <c r="E545" t="s">
        <v>11</v>
      </c>
      <c r="F545" s="1" t="d">
        <v>2024-07-16</v>
      </c>
      <c r="I545" t="str">
        <f>VLOOKUP(D545,Table3[#All],2,FALSE)</f>
        <v>ECR</v>
      </c>
    </row>
    <row r="546" spans="1:9" x14ac:dyDescent="0.2">
      <c r="A546">
        <v>245770</v>
      </c>
      <c r="B546" t="s">
        <v>611</v>
      </c>
      <c r="C546" t="s">
        <v>22</v>
      </c>
      <c r="D546" t="s">
        <v>33</v>
      </c>
      <c r="E546" t="s">
        <v>51</v>
      </c>
      <c r="F546" s="1" t="d">
        <v>2024-07-16</v>
      </c>
      <c r="I546" t="str">
        <f>VLOOKUP(D546,Table3[#All],2,FALSE)</f>
        <v>The Left</v>
      </c>
    </row>
    <row r="547" spans="1:9" x14ac:dyDescent="0.2">
      <c r="A547">
        <v>197691</v>
      </c>
      <c r="B547" t="s">
        <v>612</v>
      </c>
      <c r="C547" t="s">
        <v>58</v>
      </c>
      <c r="D547" t="s">
        <v>10</v>
      </c>
      <c r="E547" t="s">
        <v>11</v>
      </c>
      <c r="F547" s="1" t="d">
        <v>2024-07-16</v>
      </c>
      <c r="I547" t="str">
        <f>VLOOKUP(D547,Table3[#All],2,FALSE)</f>
        <v>PfE</v>
      </c>
    </row>
    <row r="548" spans="1:9" x14ac:dyDescent="0.2">
      <c r="A548">
        <v>197784</v>
      </c>
      <c r="B548" t="s">
        <v>613</v>
      </c>
      <c r="C548" t="s">
        <v>22</v>
      </c>
      <c r="D548" t="s">
        <v>14</v>
      </c>
      <c r="E548" t="s">
        <v>11</v>
      </c>
      <c r="F548" s="1" t="d">
        <v>2024-07-16</v>
      </c>
      <c r="I548" t="str">
        <f>VLOOKUP(D548,Table3[#All],2,FALSE)</f>
        <v>EPP</v>
      </c>
    </row>
    <row r="549" spans="1:9" x14ac:dyDescent="0.2">
      <c r="A549">
        <v>256829</v>
      </c>
      <c r="B549" t="s">
        <v>614</v>
      </c>
      <c r="C549" t="s">
        <v>48</v>
      </c>
      <c r="D549" t="s">
        <v>39</v>
      </c>
      <c r="E549" t="s">
        <v>11</v>
      </c>
      <c r="F549" s="1" t="d">
        <v>2024-07-16</v>
      </c>
      <c r="I549" t="str">
        <f>VLOOKUP(D549,Table3[#All],2,FALSE)</f>
        <v>S&amp;D</v>
      </c>
    </row>
    <row r="550" spans="1:9" x14ac:dyDescent="0.2">
      <c r="A550">
        <v>256922</v>
      </c>
      <c r="B550" t="s">
        <v>615</v>
      </c>
      <c r="C550" t="s">
        <v>58</v>
      </c>
      <c r="D550" t="s">
        <v>17</v>
      </c>
      <c r="E550" t="s">
        <v>18</v>
      </c>
      <c r="F550" s="1" t="d">
        <v>2024-07-16</v>
      </c>
      <c r="I550" t="str">
        <f>VLOOKUP(D550,Table3[#All],2,FALSE)</f>
        <v>ECR</v>
      </c>
    </row>
    <row r="551" spans="1:9" x14ac:dyDescent="0.2">
      <c r="A551">
        <v>256859</v>
      </c>
      <c r="B551" t="s">
        <v>616</v>
      </c>
      <c r="C551" t="s">
        <v>108</v>
      </c>
      <c r="D551" t="s">
        <v>10</v>
      </c>
      <c r="E551" t="s">
        <v>11</v>
      </c>
      <c r="F551" s="1" t="d">
        <v>2024-07-16</v>
      </c>
      <c r="I551" t="str">
        <f>VLOOKUP(D551,Table3[#All],2,FALSE)</f>
        <v>PfE</v>
      </c>
    </row>
    <row r="552" spans="1:9" x14ac:dyDescent="0.2">
      <c r="A552">
        <v>1892</v>
      </c>
      <c r="B552" t="s">
        <v>617</v>
      </c>
      <c r="C552" t="s">
        <v>53</v>
      </c>
      <c r="D552" t="s">
        <v>29</v>
      </c>
      <c r="E552" t="s">
        <v>11</v>
      </c>
      <c r="F552" s="1" t="d">
        <v>2023-07-07</v>
      </c>
      <c r="G552" s="1" t="d">
        <v>2024-07-15</v>
      </c>
      <c r="I552" t="str">
        <f>VLOOKUP(D552,Table3[#All],2,FALSE)</f>
        <v>EPP</v>
      </c>
    </row>
    <row r="553" spans="1:9" x14ac:dyDescent="0.2">
      <c r="A553">
        <v>197731</v>
      </c>
      <c r="B553" t="s">
        <v>618</v>
      </c>
      <c r="C553" t="s">
        <v>69</v>
      </c>
      <c r="D553" t="s">
        <v>23</v>
      </c>
      <c r="E553" t="s">
        <v>11</v>
      </c>
      <c r="F553" s="1" t="d">
        <v>2020-12-18</v>
      </c>
      <c r="G553" s="1" t="d">
        <v>2024-07-15</v>
      </c>
      <c r="I553" t="str">
        <f>VLOOKUP(D553,Table3[#All],2,FALSE)</f>
        <v>The Left</v>
      </c>
    </row>
    <row r="554" spans="1:9" x14ac:dyDescent="0.2">
      <c r="A554">
        <v>129073</v>
      </c>
      <c r="B554" t="s">
        <v>619</v>
      </c>
      <c r="C554" t="s">
        <v>63</v>
      </c>
      <c r="D554" t="s">
        <v>46</v>
      </c>
      <c r="E554" t="s">
        <v>18</v>
      </c>
      <c r="F554" s="1" t="d">
        <v>2024-07-16</v>
      </c>
      <c r="I554" t="str">
        <f>VLOOKUP(D554,Table3[#All],2,FALSE)</f>
        <v>Renew Europe</v>
      </c>
    </row>
    <row r="555" spans="1:9" x14ac:dyDescent="0.2">
      <c r="A555">
        <v>124807</v>
      </c>
      <c r="B555" t="s">
        <v>620</v>
      </c>
      <c r="C555" t="s">
        <v>13</v>
      </c>
      <c r="D555" t="s">
        <v>14</v>
      </c>
      <c r="E555" t="s">
        <v>11</v>
      </c>
      <c r="F555" s="1" t="d">
        <v>2024-07-16</v>
      </c>
      <c r="I555" t="str">
        <f>VLOOKUP(D555,Table3[#All],2,FALSE)</f>
        <v>EPP</v>
      </c>
    </row>
    <row r="556" spans="1:9" x14ac:dyDescent="0.2">
      <c r="A556">
        <v>257139</v>
      </c>
      <c r="B556" t="s">
        <v>621</v>
      </c>
      <c r="C556" t="s">
        <v>25</v>
      </c>
      <c r="D556" t="s">
        <v>20</v>
      </c>
      <c r="E556" t="s">
        <v>11</v>
      </c>
      <c r="F556" s="1" t="d">
        <v>2024-07-16</v>
      </c>
      <c r="I556" t="str">
        <f>VLOOKUP(D556,Table3[#All],2,FALSE)</f>
        <v>Greens/EFA</v>
      </c>
    </row>
    <row r="557" spans="1:9" x14ac:dyDescent="0.2">
      <c r="A557">
        <v>197470</v>
      </c>
      <c r="B557" t="s">
        <v>622</v>
      </c>
      <c r="C557" t="s">
        <v>114</v>
      </c>
      <c r="D557" t="s">
        <v>20</v>
      </c>
      <c r="E557" t="s">
        <v>11</v>
      </c>
      <c r="F557" s="1" t="d">
        <v>2024-07-16</v>
      </c>
      <c r="I557" t="str">
        <f>VLOOKUP(D557,Table3[#All],2,FALSE)</f>
        <v>Greens/EFA</v>
      </c>
    </row>
    <row r="558" spans="1:9" x14ac:dyDescent="0.2">
      <c r="A558">
        <v>256946</v>
      </c>
      <c r="B558" t="s">
        <v>623</v>
      </c>
      <c r="C558" t="s">
        <v>13</v>
      </c>
      <c r="D558" t="s">
        <v>46</v>
      </c>
      <c r="E558" t="s">
        <v>11</v>
      </c>
      <c r="F558" s="1" t="d">
        <v>2024-07-16</v>
      </c>
      <c r="I558" t="str">
        <f>VLOOKUP(D558,Table3[#All],2,FALSE)</f>
        <v>Renew Europe</v>
      </c>
    </row>
    <row r="559" spans="1:9" x14ac:dyDescent="0.2">
      <c r="A559">
        <v>197416</v>
      </c>
      <c r="B559" t="s">
        <v>624</v>
      </c>
      <c r="C559" t="s">
        <v>85</v>
      </c>
      <c r="D559" t="s">
        <v>33</v>
      </c>
      <c r="E559" t="s">
        <v>18</v>
      </c>
      <c r="F559" s="1" t="d">
        <v>2024-07-18</v>
      </c>
      <c r="I559" t="str">
        <f>VLOOKUP(D559,Table3[#All],2,FALSE)</f>
        <v>The Left</v>
      </c>
    </row>
    <row r="560" spans="1:9" x14ac:dyDescent="0.2">
      <c r="A560">
        <v>257089</v>
      </c>
      <c r="B560" t="s">
        <v>625</v>
      </c>
      <c r="C560" t="s">
        <v>71</v>
      </c>
      <c r="D560" t="s">
        <v>14</v>
      </c>
      <c r="E560" t="s">
        <v>11</v>
      </c>
      <c r="F560" s="1" t="d">
        <v>2024-07-16</v>
      </c>
      <c r="I560" t="str">
        <f>VLOOKUP(D560,Table3[#All],2,FALSE)</f>
        <v>EPP</v>
      </c>
    </row>
    <row r="561" spans="1:9" x14ac:dyDescent="0.2">
      <c r="A561">
        <v>204346</v>
      </c>
      <c r="B561" t="s">
        <v>626</v>
      </c>
      <c r="C561" t="s">
        <v>44</v>
      </c>
      <c r="D561" t="s">
        <v>17</v>
      </c>
      <c r="E561" t="s">
        <v>11</v>
      </c>
      <c r="F561" s="1" t="d">
        <v>2024-07-16</v>
      </c>
      <c r="I561" t="str">
        <f>VLOOKUP(D561,Table3[#All],2,FALSE)</f>
        <v>ECR</v>
      </c>
    </row>
    <row r="562" spans="1:9" x14ac:dyDescent="0.2">
      <c r="A562">
        <v>197412</v>
      </c>
      <c r="B562" t="s">
        <v>627</v>
      </c>
      <c r="C562" t="s">
        <v>13</v>
      </c>
      <c r="D562" t="s">
        <v>14</v>
      </c>
      <c r="E562" t="s">
        <v>11</v>
      </c>
      <c r="F562" s="1" t="d">
        <v>2024-07-16</v>
      </c>
      <c r="I562" t="str">
        <f>VLOOKUP(D562,Table3[#All],2,FALSE)</f>
        <v>EPP</v>
      </c>
    </row>
    <row r="563" spans="1:9" x14ac:dyDescent="0.2">
      <c r="A563">
        <v>197794</v>
      </c>
      <c r="B563" t="s">
        <v>628</v>
      </c>
      <c r="C563" t="s">
        <v>25</v>
      </c>
      <c r="D563" t="s">
        <v>17</v>
      </c>
      <c r="E563" t="s">
        <v>11</v>
      </c>
      <c r="F563" s="1" t="d">
        <v>2024-07-16</v>
      </c>
      <c r="I563" t="str">
        <f>VLOOKUP(D563,Table3[#All],2,FALSE)</f>
        <v>ECR</v>
      </c>
    </row>
    <row r="564" spans="1:9" x14ac:dyDescent="0.2">
      <c r="A564">
        <v>125012</v>
      </c>
      <c r="B564" t="s">
        <v>629</v>
      </c>
      <c r="C564" t="s">
        <v>35</v>
      </c>
      <c r="D564" t="s">
        <v>14</v>
      </c>
      <c r="E564" t="s">
        <v>11</v>
      </c>
      <c r="F564" s="1" t="d">
        <v>2024-07-16</v>
      </c>
      <c r="I564" t="str">
        <f>VLOOKUP(D564,Table3[#All],2,FALSE)</f>
        <v>EPP</v>
      </c>
    </row>
    <row r="565" spans="1:9" x14ac:dyDescent="0.2">
      <c r="A565">
        <v>28617</v>
      </c>
      <c r="B565" t="s">
        <v>630</v>
      </c>
      <c r="C565" t="s">
        <v>61</v>
      </c>
      <c r="D565" t="s">
        <v>14</v>
      </c>
      <c r="E565" t="s">
        <v>11</v>
      </c>
      <c r="F565" s="1" t="d">
        <v>2024-07-16</v>
      </c>
      <c r="I565" t="str">
        <f>VLOOKUP(D565,Table3[#All],2,FALSE)</f>
        <v>EPP</v>
      </c>
    </row>
    <row r="566" spans="1:9" x14ac:dyDescent="0.2">
      <c r="A566">
        <v>257058</v>
      </c>
      <c r="B566" t="s">
        <v>631</v>
      </c>
      <c r="C566" t="s">
        <v>44</v>
      </c>
      <c r="D566" t="s">
        <v>17</v>
      </c>
      <c r="E566" t="s">
        <v>11</v>
      </c>
      <c r="F566" s="1" t="d">
        <v>2024-07-16</v>
      </c>
      <c r="I566" t="str">
        <f>VLOOKUP(D566,Table3[#All],2,FALSE)</f>
        <v>ECR</v>
      </c>
    </row>
    <row r="567" spans="1:9" x14ac:dyDescent="0.2">
      <c r="A567">
        <v>197699</v>
      </c>
      <c r="B567" t="s">
        <v>632</v>
      </c>
      <c r="C567" t="s">
        <v>48</v>
      </c>
      <c r="D567" t="s">
        <v>33</v>
      </c>
      <c r="E567" t="s">
        <v>11</v>
      </c>
      <c r="F567" s="1" t="d">
        <v>2024-07-16</v>
      </c>
      <c r="I567" t="str">
        <f>VLOOKUP(D567,Table3[#All],2,FALSE)</f>
        <v>The Left</v>
      </c>
    </row>
    <row r="568" spans="1:9" x14ac:dyDescent="0.2">
      <c r="A568">
        <v>256884</v>
      </c>
      <c r="B568" t="s">
        <v>633</v>
      </c>
      <c r="C568" t="s">
        <v>114</v>
      </c>
      <c r="D568" t="s">
        <v>17</v>
      </c>
      <c r="E568" t="s">
        <v>11</v>
      </c>
      <c r="F568" s="1" t="d">
        <v>2024-07-16</v>
      </c>
      <c r="I568" t="str">
        <f>VLOOKUP(D568,Table3[#All],2,FALSE)</f>
        <v>ECR</v>
      </c>
    </row>
    <row r="569" spans="1:9" x14ac:dyDescent="0.2">
      <c r="A569">
        <v>38420</v>
      </c>
      <c r="B569" t="s">
        <v>634</v>
      </c>
      <c r="C569" t="s">
        <v>35</v>
      </c>
      <c r="D569" t="s">
        <v>29</v>
      </c>
      <c r="E569" t="s">
        <v>11</v>
      </c>
      <c r="F569" s="1" t="d">
        <v>2019-07-02</v>
      </c>
      <c r="G569" s="1" t="d">
        <v>2024-07-15</v>
      </c>
      <c r="I569" t="str">
        <f>VLOOKUP(D569,Table3[#All],2,FALSE)</f>
        <v>EPP</v>
      </c>
    </row>
    <row r="570" spans="1:9" x14ac:dyDescent="0.2">
      <c r="A570">
        <v>38398</v>
      </c>
      <c r="B570" t="s">
        <v>635</v>
      </c>
      <c r="C570" t="s">
        <v>9</v>
      </c>
      <c r="D570" t="s">
        <v>29</v>
      </c>
      <c r="E570" t="s">
        <v>51</v>
      </c>
      <c r="F570" s="1" t="d">
        <v>2019-07-02</v>
      </c>
      <c r="G570" s="1" t="d">
        <v>2024-02-15</v>
      </c>
      <c r="I570" t="str">
        <f>VLOOKUP(D570,Table3[#All],2,FALSE)</f>
        <v>EPP</v>
      </c>
    </row>
    <row r="571" spans="1:9" x14ac:dyDescent="0.2">
      <c r="A571">
        <v>124828</v>
      </c>
      <c r="B571" t="s">
        <v>636</v>
      </c>
      <c r="C571" t="s">
        <v>25</v>
      </c>
      <c r="D571" t="s">
        <v>14</v>
      </c>
      <c r="E571" t="s">
        <v>11</v>
      </c>
      <c r="F571" s="1" t="d">
        <v>2024-07-16</v>
      </c>
      <c r="I571" t="str">
        <f>VLOOKUP(D571,Table3[#All],2,FALSE)</f>
        <v>EPP</v>
      </c>
    </row>
    <row r="572" spans="1:9" x14ac:dyDescent="0.2">
      <c r="A572">
        <v>28229</v>
      </c>
      <c r="B572" t="s">
        <v>637</v>
      </c>
      <c r="C572" t="s">
        <v>13</v>
      </c>
      <c r="D572" t="s">
        <v>14</v>
      </c>
      <c r="E572" t="s">
        <v>119</v>
      </c>
      <c r="F572" s="1" t="d">
        <v>2024-07-16</v>
      </c>
      <c r="I572" t="str">
        <f>VLOOKUP(D572,Table3[#All],2,FALSE)</f>
        <v>EPP</v>
      </c>
    </row>
    <row r="573" spans="1:9" x14ac:dyDescent="0.2">
      <c r="A573">
        <v>124867</v>
      </c>
      <c r="B573" t="s">
        <v>638</v>
      </c>
      <c r="C573" t="s">
        <v>25</v>
      </c>
      <c r="D573" t="s">
        <v>39</v>
      </c>
      <c r="E573" t="s">
        <v>11</v>
      </c>
      <c r="F573" s="1" t="d">
        <v>2024-07-16</v>
      </c>
      <c r="I573" t="str">
        <f>VLOOKUP(D573,Table3[#All],2,FALSE)</f>
        <v>S&amp;D</v>
      </c>
    </row>
    <row r="574" spans="1:9" x14ac:dyDescent="0.2">
      <c r="A574">
        <v>257054</v>
      </c>
      <c r="B574" t="s">
        <v>639</v>
      </c>
      <c r="C574" t="s">
        <v>53</v>
      </c>
      <c r="D574" t="s">
        <v>10</v>
      </c>
      <c r="E574" t="s">
        <v>11</v>
      </c>
      <c r="F574" s="1" t="d">
        <v>2024-07-16</v>
      </c>
      <c r="I574" t="str">
        <f>VLOOKUP(D574,Table3[#All],2,FALSE)</f>
        <v>PfE</v>
      </c>
    </row>
    <row r="575" spans="1:9" x14ac:dyDescent="0.2">
      <c r="A575">
        <v>190517</v>
      </c>
      <c r="B575" t="s">
        <v>640</v>
      </c>
      <c r="C575" t="s">
        <v>13</v>
      </c>
      <c r="D575" t="s">
        <v>33</v>
      </c>
      <c r="E575" t="s">
        <v>160</v>
      </c>
      <c r="F575" s="1" t="d">
        <v>2024-07-16</v>
      </c>
      <c r="I575" t="str">
        <f>VLOOKUP(D575,Table3[#All],2,FALSE)</f>
        <v>The Left</v>
      </c>
    </row>
    <row r="576" spans="1:9" x14ac:dyDescent="0.2">
      <c r="A576">
        <v>256902</v>
      </c>
      <c r="B576" t="s">
        <v>641</v>
      </c>
      <c r="C576" t="s">
        <v>58</v>
      </c>
      <c r="D576" t="s">
        <v>39</v>
      </c>
      <c r="E576" t="s">
        <v>11</v>
      </c>
      <c r="F576" s="1" t="d">
        <v>2024-07-16</v>
      </c>
      <c r="I576" t="str">
        <f>VLOOKUP(D576,Table3[#All],2,FALSE)</f>
        <v>S&amp;D</v>
      </c>
    </row>
    <row r="577" spans="1:9" x14ac:dyDescent="0.2">
      <c r="A577">
        <v>257048</v>
      </c>
      <c r="B577" t="s">
        <v>642</v>
      </c>
      <c r="C577" t="s">
        <v>53</v>
      </c>
      <c r="D577" t="s">
        <v>14</v>
      </c>
      <c r="E577" t="s">
        <v>11</v>
      </c>
      <c r="F577" s="1" t="d">
        <v>2024-07-16</v>
      </c>
      <c r="I577" t="str">
        <f>VLOOKUP(D577,Table3[#All],2,FALSE)</f>
        <v>EPP</v>
      </c>
    </row>
    <row r="578" spans="1:9" x14ac:dyDescent="0.2">
      <c r="A578">
        <v>200345</v>
      </c>
      <c r="B578" t="s">
        <v>643</v>
      </c>
      <c r="C578" t="s">
        <v>58</v>
      </c>
      <c r="D578" t="s">
        <v>10</v>
      </c>
      <c r="E578" t="s">
        <v>11</v>
      </c>
      <c r="F578" s="1" t="d">
        <v>2024-07-16</v>
      </c>
      <c r="I578" t="str">
        <f>VLOOKUP(D578,Table3[#All],2,FALSE)</f>
        <v>PfE</v>
      </c>
    </row>
    <row r="579" spans="1:9" x14ac:dyDescent="0.2">
      <c r="A579">
        <v>197754</v>
      </c>
      <c r="B579" t="s">
        <v>644</v>
      </c>
      <c r="C579" t="s">
        <v>53</v>
      </c>
      <c r="D579" t="s">
        <v>23</v>
      </c>
      <c r="E579" t="s">
        <v>11</v>
      </c>
      <c r="F579" s="1" t="d">
        <v>2020-12-18</v>
      </c>
      <c r="G579" s="1" t="d">
        <v>2024-07-15</v>
      </c>
      <c r="I579" t="str">
        <f>VLOOKUP(D579,Table3[#All],2,FALSE)</f>
        <v>The Left</v>
      </c>
    </row>
    <row r="580" spans="1:9" x14ac:dyDescent="0.2">
      <c r="A580">
        <v>5729</v>
      </c>
      <c r="B580" t="s">
        <v>645</v>
      </c>
      <c r="C580" t="s">
        <v>114</v>
      </c>
      <c r="D580" t="s">
        <v>39</v>
      </c>
      <c r="E580" t="s">
        <v>51</v>
      </c>
      <c r="F580" s="1" t="d">
        <v>2024-07-16</v>
      </c>
      <c r="I580" t="str">
        <f>VLOOKUP(D580,Table3[#All],2,FALSE)</f>
        <v>S&amp;D</v>
      </c>
    </row>
    <row r="581" spans="1:9" x14ac:dyDescent="0.2">
      <c r="A581">
        <v>197621</v>
      </c>
      <c r="B581" t="s">
        <v>646</v>
      </c>
      <c r="C581" t="s">
        <v>22</v>
      </c>
      <c r="D581" t="s">
        <v>14</v>
      </c>
      <c r="E581" t="s">
        <v>11</v>
      </c>
      <c r="F581" s="1" t="d">
        <v>2024-07-16</v>
      </c>
      <c r="I581" t="str">
        <f>VLOOKUP(D581,Table3[#All],2,FALSE)</f>
        <v>EPP</v>
      </c>
    </row>
    <row r="582" spans="1:9" x14ac:dyDescent="0.2">
      <c r="A582">
        <v>256977</v>
      </c>
      <c r="B582" t="s">
        <v>647</v>
      </c>
      <c r="C582" t="s">
        <v>13</v>
      </c>
      <c r="D582" t="s">
        <v>14</v>
      </c>
      <c r="E582" t="s">
        <v>11</v>
      </c>
      <c r="F582" s="1" t="d">
        <v>2024-07-16</v>
      </c>
      <c r="I582" t="str">
        <f>VLOOKUP(D582,Table3[#All],2,FALSE)</f>
        <v>EPP</v>
      </c>
    </row>
    <row r="583" spans="1:9" x14ac:dyDescent="0.2">
      <c r="A583">
        <v>256990</v>
      </c>
      <c r="B583" t="s">
        <v>648</v>
      </c>
      <c r="C583" t="s">
        <v>9</v>
      </c>
      <c r="D583" t="s">
        <v>20</v>
      </c>
      <c r="E583" t="s">
        <v>11</v>
      </c>
      <c r="F583" s="1" t="d">
        <v>2024-07-16</v>
      </c>
      <c r="I583" t="str">
        <f>VLOOKUP(D583,Table3[#All],2,FALSE)</f>
        <v>Greens/EFA</v>
      </c>
    </row>
    <row r="584" spans="1:9" x14ac:dyDescent="0.2">
      <c r="A584">
        <v>86793</v>
      </c>
      <c r="B584" t="s">
        <v>649</v>
      </c>
      <c r="C584" t="s">
        <v>13</v>
      </c>
      <c r="D584" t="s">
        <v>20</v>
      </c>
      <c r="E584" t="s">
        <v>11</v>
      </c>
      <c r="F584" s="1" t="d">
        <v>2024-07-16</v>
      </c>
      <c r="I584" t="str">
        <f>VLOOKUP(D584,Table3[#All],2,FALSE)</f>
        <v>Greens/EFA</v>
      </c>
    </row>
    <row r="585" spans="1:9" x14ac:dyDescent="0.2">
      <c r="A585">
        <v>257069</v>
      </c>
      <c r="B585" t="s">
        <v>650</v>
      </c>
      <c r="C585" t="s">
        <v>44</v>
      </c>
      <c r="D585" t="s">
        <v>10</v>
      </c>
      <c r="E585" t="s">
        <v>11</v>
      </c>
      <c r="F585" s="1" t="d">
        <v>2026-03-25</v>
      </c>
      <c r="I585" t="str">
        <f>VLOOKUP(D585,Table3[#All],2,FALSE)</f>
        <v>PfE</v>
      </c>
    </row>
    <row r="586" spans="1:9" x14ac:dyDescent="0.2">
      <c r="A586">
        <v>197540</v>
      </c>
      <c r="B586" t="s">
        <v>651</v>
      </c>
      <c r="C586" t="s">
        <v>44</v>
      </c>
      <c r="D586" t="s">
        <v>180</v>
      </c>
      <c r="E586" t="s">
        <v>11</v>
      </c>
      <c r="F586" s="1" t="d">
        <v>2019-07-02</v>
      </c>
      <c r="G586" s="1" t="d">
        <v>2024-07-15</v>
      </c>
      <c r="I586" t="str">
        <f>VLOOKUP(D586,Table3[#All],2,FALSE)</f>
        <v>S&amp;D</v>
      </c>
    </row>
    <row r="587" spans="1:9" x14ac:dyDescent="0.2">
      <c r="A587">
        <v>96711</v>
      </c>
      <c r="B587" t="s">
        <v>652</v>
      </c>
      <c r="C587" t="s">
        <v>58</v>
      </c>
      <c r="D587" t="s">
        <v>46</v>
      </c>
      <c r="E587" t="s">
        <v>11</v>
      </c>
      <c r="F587" s="1" t="d">
        <v>2024-07-16</v>
      </c>
      <c r="I587" t="str">
        <f>VLOOKUP(D587,Table3[#All],2,FALSE)</f>
        <v>Renew Europe</v>
      </c>
    </row>
    <row r="588" spans="1:9" x14ac:dyDescent="0.2">
      <c r="A588">
        <v>197828</v>
      </c>
      <c r="B588" t="s">
        <v>653</v>
      </c>
      <c r="C588" t="s">
        <v>22</v>
      </c>
      <c r="D588" t="s">
        <v>23</v>
      </c>
      <c r="E588" t="s">
        <v>11</v>
      </c>
      <c r="F588" s="1" t="d">
        <v>2020-12-18</v>
      </c>
      <c r="G588" s="1" t="d">
        <v>2024-07-15</v>
      </c>
      <c r="I588" t="str">
        <f>VLOOKUP(D588,Table3[#All],2,FALSE)</f>
        <v>The Left</v>
      </c>
    </row>
    <row r="589" spans="1:9" x14ac:dyDescent="0.2">
      <c r="A589">
        <v>197493</v>
      </c>
      <c r="B589" t="s">
        <v>654</v>
      </c>
      <c r="C589" t="s">
        <v>63</v>
      </c>
      <c r="D589" t="s">
        <v>17</v>
      </c>
      <c r="E589" t="s">
        <v>18</v>
      </c>
      <c r="F589" s="1" t="d">
        <v>2024-07-16</v>
      </c>
      <c r="I589" t="str">
        <f>VLOOKUP(D589,Table3[#All],2,FALSE)</f>
        <v>ECR</v>
      </c>
    </row>
    <row r="590" spans="1:9" x14ac:dyDescent="0.2">
      <c r="A590">
        <v>256878</v>
      </c>
      <c r="B590" t="s">
        <v>655</v>
      </c>
      <c r="C590" t="s">
        <v>58</v>
      </c>
      <c r="D590" t="s">
        <v>10</v>
      </c>
      <c r="E590" t="s">
        <v>11</v>
      </c>
      <c r="F590" s="1" t="d">
        <v>2024-07-16</v>
      </c>
      <c r="I590" t="str">
        <f>VLOOKUP(D590,Table3[#All],2,FALSE)</f>
        <v>PfE</v>
      </c>
    </row>
    <row r="591" spans="1:9" x14ac:dyDescent="0.2">
      <c r="A591">
        <v>256997</v>
      </c>
      <c r="B591" t="s">
        <v>656</v>
      </c>
      <c r="C591" t="s">
        <v>22</v>
      </c>
      <c r="D591" t="s">
        <v>39</v>
      </c>
      <c r="E591" t="s">
        <v>11</v>
      </c>
      <c r="F591" s="1" t="d">
        <v>2024-07-16</v>
      </c>
      <c r="I591" t="str">
        <f>VLOOKUP(D591,Table3[#All],2,FALSE)</f>
        <v>S&amp;D</v>
      </c>
    </row>
    <row r="592" spans="1:9" x14ac:dyDescent="0.2">
      <c r="A592">
        <v>256843</v>
      </c>
      <c r="B592" t="s">
        <v>657</v>
      </c>
      <c r="C592" t="s">
        <v>41</v>
      </c>
      <c r="D592" t="s">
        <v>10</v>
      </c>
      <c r="E592" t="s">
        <v>11</v>
      </c>
      <c r="F592" s="1" t="d">
        <v>2024-07-16</v>
      </c>
      <c r="I592" t="str">
        <f>VLOOKUP(D592,Table3[#All],2,FALSE)</f>
        <v>PfE</v>
      </c>
    </row>
    <row r="593" spans="1:9" x14ac:dyDescent="0.2">
      <c r="A593">
        <v>124704</v>
      </c>
      <c r="B593" t="s">
        <v>658</v>
      </c>
      <c r="C593" t="s">
        <v>41</v>
      </c>
      <c r="D593" t="s">
        <v>29</v>
      </c>
      <c r="E593" t="s">
        <v>11</v>
      </c>
      <c r="F593" s="1" t="d">
        <v>2019-07-02</v>
      </c>
      <c r="G593" s="1" t="d">
        <v>2024-07-15</v>
      </c>
      <c r="I593" t="str">
        <f>VLOOKUP(D593,Table3[#All],2,FALSE)</f>
        <v>EPP</v>
      </c>
    </row>
    <row r="594" spans="1:9" x14ac:dyDescent="0.2">
      <c r="A594">
        <v>257301</v>
      </c>
      <c r="B594" t="s">
        <v>659</v>
      </c>
      <c r="C594" t="s">
        <v>69</v>
      </c>
      <c r="D594" t="s">
        <v>46</v>
      </c>
      <c r="E594" t="s">
        <v>11</v>
      </c>
      <c r="F594" s="1" t="d">
        <v>2024-07-16</v>
      </c>
      <c r="I594" t="str">
        <f>VLOOKUP(D594,Table3[#All],2,FALSE)</f>
        <v>Renew Europe</v>
      </c>
    </row>
    <row r="595" spans="1:9" x14ac:dyDescent="0.2">
      <c r="A595">
        <v>197616</v>
      </c>
      <c r="B595" t="s">
        <v>660</v>
      </c>
      <c r="C595" t="s">
        <v>25</v>
      </c>
      <c r="D595" t="s">
        <v>112</v>
      </c>
      <c r="E595" t="s">
        <v>11</v>
      </c>
      <c r="F595" s="1" t="d">
        <v>2019-07-02</v>
      </c>
      <c r="G595" s="1" t="d">
        <v>2024-07-15</v>
      </c>
      <c r="I595" t="str">
        <f>VLOOKUP(D595,Table3[#All],2,FALSE)</f>
        <v>ID</v>
      </c>
    </row>
    <row r="596" spans="1:9" x14ac:dyDescent="0.2">
      <c r="A596">
        <v>191693</v>
      </c>
      <c r="B596" t="s">
        <v>661</v>
      </c>
      <c r="C596" t="s">
        <v>96</v>
      </c>
      <c r="D596" t="s">
        <v>46</v>
      </c>
      <c r="E596" t="s">
        <v>18</v>
      </c>
      <c r="F596" s="1" t="d">
        <v>2024-07-16</v>
      </c>
      <c r="I596" t="str">
        <f>VLOOKUP(D596,Table3[#All],2,FALSE)</f>
        <v>Renew Europe</v>
      </c>
    </row>
    <row r="597" spans="1:9" x14ac:dyDescent="0.2">
      <c r="A597">
        <v>257101</v>
      </c>
      <c r="B597" t="s">
        <v>662</v>
      </c>
      <c r="C597" t="s">
        <v>25</v>
      </c>
      <c r="D597" t="s">
        <v>39</v>
      </c>
      <c r="E597" t="s">
        <v>11</v>
      </c>
      <c r="F597" s="1" t="d">
        <v>2024-07-16</v>
      </c>
      <c r="I597" t="str">
        <f>VLOOKUP(D597,Table3[#All],2,FALSE)</f>
        <v>S&amp;D</v>
      </c>
    </row>
    <row r="598" spans="1:9" x14ac:dyDescent="0.2">
      <c r="A598">
        <v>261038</v>
      </c>
      <c r="B598" t="s">
        <v>663</v>
      </c>
      <c r="C598" t="s">
        <v>41</v>
      </c>
      <c r="D598" t="s">
        <v>10</v>
      </c>
      <c r="E598" t="s">
        <v>11</v>
      </c>
      <c r="F598" s="1" t="d">
        <v>2024-08-01</v>
      </c>
      <c r="I598" t="str">
        <f>VLOOKUP(D598,Table3[#All],2,FALSE)</f>
        <v>PfE</v>
      </c>
    </row>
    <row r="599" spans="1:9" x14ac:dyDescent="0.2">
      <c r="A599">
        <v>23784</v>
      </c>
      <c r="B599" t="s">
        <v>664</v>
      </c>
      <c r="C599" t="s">
        <v>44</v>
      </c>
      <c r="D599" t="s">
        <v>665</v>
      </c>
      <c r="E599" t="s">
        <v>11</v>
      </c>
      <c r="F599" s="1" t="d">
        <v>2014-07-01</v>
      </c>
      <c r="G599" s="1" t="d">
        <v>2016-05-07</v>
      </c>
      <c r="I599" t="str">
        <f>VLOOKUP(D599,Table3[#All],2,FALSE)</f>
        <v>ECR</v>
      </c>
    </row>
    <row r="600" spans="1:9" x14ac:dyDescent="0.2">
      <c r="A600">
        <v>28619</v>
      </c>
      <c r="B600" t="s">
        <v>666</v>
      </c>
      <c r="C600" t="s">
        <v>61</v>
      </c>
      <c r="D600" t="s">
        <v>146</v>
      </c>
      <c r="E600" t="s">
        <v>11</v>
      </c>
      <c r="F600" s="1" t="d">
        <v>2022-04-01</v>
      </c>
      <c r="G600" s="1" t="d">
        <v>2024-07-15</v>
      </c>
      <c r="I600" t="str">
        <f>VLOOKUP(D600,Table3[#All],2,FALSE)</f>
        <v>EPP</v>
      </c>
    </row>
    <row r="601" spans="1:9" x14ac:dyDescent="0.2">
      <c r="A601">
        <v>257041</v>
      </c>
      <c r="B601" t="s">
        <v>667</v>
      </c>
      <c r="C601" t="s">
        <v>44</v>
      </c>
      <c r="D601" t="s">
        <v>14</v>
      </c>
      <c r="E601" t="s">
        <v>11</v>
      </c>
      <c r="F601" s="1" t="d">
        <v>2024-07-16</v>
      </c>
      <c r="I601" t="str">
        <f>VLOOKUP(D601,Table3[#All],2,FALSE)</f>
        <v>EPP</v>
      </c>
    </row>
    <row r="602" spans="1:9" x14ac:dyDescent="0.2">
      <c r="A602">
        <v>256855</v>
      </c>
      <c r="B602" t="s">
        <v>668</v>
      </c>
      <c r="C602" t="s">
        <v>108</v>
      </c>
      <c r="D602" t="s">
        <v>10</v>
      </c>
      <c r="E602" t="s">
        <v>11</v>
      </c>
      <c r="F602" s="1" t="d">
        <v>2024-07-16</v>
      </c>
      <c r="I602" t="str">
        <f>VLOOKUP(D602,Table3[#All],2,FALSE)</f>
        <v>PfE</v>
      </c>
    </row>
    <row r="603" spans="1:9" x14ac:dyDescent="0.2">
      <c r="A603">
        <v>257109</v>
      </c>
      <c r="B603" t="s">
        <v>669</v>
      </c>
      <c r="C603" t="s">
        <v>25</v>
      </c>
      <c r="D603" t="s">
        <v>17</v>
      </c>
      <c r="E603" t="s">
        <v>18</v>
      </c>
      <c r="F603" s="1" t="d">
        <v>2024-12-17</v>
      </c>
      <c r="I603" t="str">
        <f>VLOOKUP(D603,Table3[#All],2,FALSE)</f>
        <v>ECR</v>
      </c>
    </row>
    <row r="604" spans="1:9" x14ac:dyDescent="0.2">
      <c r="A604">
        <v>96653</v>
      </c>
      <c r="B604" t="s">
        <v>670</v>
      </c>
      <c r="C604" t="s">
        <v>191</v>
      </c>
      <c r="D604" t="s">
        <v>49</v>
      </c>
      <c r="E604" t="s">
        <v>11</v>
      </c>
      <c r="F604" s="1" t="d">
        <v>2024-07-16</v>
      </c>
      <c r="I604" t="str">
        <f>VLOOKUP(D604,Table3[#All],2,FALSE)</f>
        <v>Non-attached</v>
      </c>
    </row>
    <row r="605" spans="1:9" x14ac:dyDescent="0.2">
      <c r="A605">
        <v>204421</v>
      </c>
      <c r="B605" t="s">
        <v>671</v>
      </c>
      <c r="C605" t="s">
        <v>58</v>
      </c>
      <c r="D605" t="s">
        <v>112</v>
      </c>
      <c r="E605" t="s">
        <v>11</v>
      </c>
      <c r="F605" s="1" t="d">
        <v>2020-02-01</v>
      </c>
      <c r="G605" s="1" t="d">
        <v>2024-07-15</v>
      </c>
      <c r="I605" t="str">
        <f>VLOOKUP(D605,Table3[#All],2,FALSE)</f>
        <v>ID</v>
      </c>
    </row>
    <row r="606" spans="1:9" x14ac:dyDescent="0.2">
      <c r="A606">
        <v>256865</v>
      </c>
      <c r="B606" t="s">
        <v>672</v>
      </c>
      <c r="C606" t="s">
        <v>108</v>
      </c>
      <c r="D606" t="s">
        <v>14</v>
      </c>
      <c r="E606" t="s">
        <v>11</v>
      </c>
      <c r="F606" s="1" t="d">
        <v>2024-07-16</v>
      </c>
      <c r="I606" t="str">
        <f>VLOOKUP(D606,Table3[#All],2,FALSE)</f>
        <v>EPP</v>
      </c>
    </row>
    <row r="607" spans="1:9" x14ac:dyDescent="0.2">
      <c r="A607">
        <v>209140</v>
      </c>
      <c r="B607" t="s">
        <v>673</v>
      </c>
      <c r="C607" t="s">
        <v>35</v>
      </c>
      <c r="D607" t="s">
        <v>207</v>
      </c>
      <c r="E607" t="s">
        <v>11</v>
      </c>
      <c r="F607" s="1" t="d">
        <v>2020-11-10</v>
      </c>
      <c r="G607" s="1" t="d">
        <v>2024-07-15</v>
      </c>
      <c r="I607" t="str">
        <f>VLOOKUP(D607,Table3[#All],2,FALSE)</f>
        <v>Renew Europe</v>
      </c>
    </row>
    <row r="608" spans="1:9" x14ac:dyDescent="0.2">
      <c r="A608">
        <v>247737</v>
      </c>
      <c r="B608" t="s">
        <v>674</v>
      </c>
      <c r="C608" t="s">
        <v>22</v>
      </c>
      <c r="D608" t="s">
        <v>29</v>
      </c>
      <c r="E608" t="s">
        <v>11</v>
      </c>
      <c r="F608" s="1" t="d">
        <v>2023-09-06</v>
      </c>
      <c r="G608" s="1" t="d">
        <v>2024-07-15</v>
      </c>
      <c r="I608" t="str">
        <f>VLOOKUP(D608,Table3[#All],2,FALSE)</f>
        <v>EPP</v>
      </c>
    </row>
    <row r="609" spans="1:9" x14ac:dyDescent="0.2">
      <c r="A609">
        <v>197538</v>
      </c>
      <c r="B609" t="s">
        <v>675</v>
      </c>
      <c r="C609" t="s">
        <v>44</v>
      </c>
      <c r="D609" t="s">
        <v>80</v>
      </c>
      <c r="E609" t="s">
        <v>11</v>
      </c>
      <c r="F609" s="1" t="d">
        <v>2019-07-02</v>
      </c>
      <c r="G609" s="1" t="d">
        <v>2024-07-15</v>
      </c>
      <c r="I609" t="str">
        <f>VLOOKUP(D609,Table3[#All],2,FALSE)</f>
        <v>ECR</v>
      </c>
    </row>
    <row r="610" spans="1:9" x14ac:dyDescent="0.2">
      <c r="A610">
        <v>2268</v>
      </c>
      <c r="B610" t="s">
        <v>676</v>
      </c>
      <c r="C610" t="s">
        <v>71</v>
      </c>
      <c r="D610" t="s">
        <v>33</v>
      </c>
      <c r="E610" t="s">
        <v>18</v>
      </c>
      <c r="F610" s="1" t="d">
        <v>2024-07-18</v>
      </c>
      <c r="I610" t="str">
        <f>VLOOKUP(D610,Table3[#All],2,FALSE)</f>
        <v>The Left</v>
      </c>
    </row>
    <row r="611" spans="1:9" x14ac:dyDescent="0.2">
      <c r="A611">
        <v>1909</v>
      </c>
      <c r="B611" t="s">
        <v>677</v>
      </c>
      <c r="C611" t="s">
        <v>13</v>
      </c>
      <c r="D611" t="s">
        <v>39</v>
      </c>
      <c r="E611" t="s">
        <v>11</v>
      </c>
      <c r="F611" s="1" t="d">
        <v>2024-07-16</v>
      </c>
      <c r="I611" t="str">
        <f>VLOOKUP(D611,Table3[#All],2,FALSE)</f>
        <v>S&amp;D</v>
      </c>
    </row>
    <row r="612" spans="1:9" x14ac:dyDescent="0.2">
      <c r="A612">
        <v>197473</v>
      </c>
      <c r="B612" t="s">
        <v>678</v>
      </c>
      <c r="C612" t="s">
        <v>13</v>
      </c>
      <c r="D612" t="s">
        <v>14</v>
      </c>
      <c r="E612" t="s">
        <v>11</v>
      </c>
      <c r="F612" s="1" t="d">
        <v>2024-07-16</v>
      </c>
      <c r="I612" t="str">
        <f>VLOOKUP(D612,Table3[#All],2,FALSE)</f>
        <v>EPP</v>
      </c>
    </row>
    <row r="613" spans="1:9" x14ac:dyDescent="0.2">
      <c r="A613">
        <v>118949</v>
      </c>
      <c r="B613" t="s">
        <v>679</v>
      </c>
      <c r="C613" t="s">
        <v>41</v>
      </c>
      <c r="D613" t="s">
        <v>10</v>
      </c>
      <c r="E613" t="s">
        <v>11</v>
      </c>
      <c r="F613" s="1" t="d">
        <v>2024-07-16</v>
      </c>
      <c r="G613" s="1" t="d">
        <v>2025-07-30</v>
      </c>
      <c r="I613" t="str">
        <f>VLOOKUP(D613,Table3[#All],2,FALSE)</f>
        <v>PfE</v>
      </c>
    </row>
    <row r="614" spans="1:9" x14ac:dyDescent="0.2">
      <c r="A614">
        <v>88715</v>
      </c>
      <c r="B614" t="s">
        <v>680</v>
      </c>
      <c r="C614" t="s">
        <v>53</v>
      </c>
      <c r="D614" t="s">
        <v>23</v>
      </c>
      <c r="E614" t="s">
        <v>11</v>
      </c>
      <c r="F614" s="1" t="d">
        <v>2020-12-18</v>
      </c>
      <c r="G614" s="1" t="d">
        <v>2024-07-15</v>
      </c>
      <c r="I614" t="str">
        <f>VLOOKUP(D614,Table3[#All],2,FALSE)</f>
        <v>The Left</v>
      </c>
    </row>
    <row r="615" spans="1:9" x14ac:dyDescent="0.2">
      <c r="A615">
        <v>204335</v>
      </c>
      <c r="B615" t="s">
        <v>681</v>
      </c>
      <c r="C615" t="s">
        <v>96</v>
      </c>
      <c r="D615" t="s">
        <v>158</v>
      </c>
      <c r="E615" t="s">
        <v>11</v>
      </c>
      <c r="F615" s="1" t="d">
        <v>2020-02-01</v>
      </c>
      <c r="G615" s="1" t="d">
        <v>2024-07-15</v>
      </c>
      <c r="I615" t="str">
        <f>VLOOKUP(D615,Table3[#All],2,FALSE)</f>
        <v>Greens/EFA</v>
      </c>
    </row>
    <row r="616" spans="1:9" x14ac:dyDescent="0.2">
      <c r="A616">
        <v>185619</v>
      </c>
      <c r="B616" t="s">
        <v>682</v>
      </c>
      <c r="C616" t="s">
        <v>13</v>
      </c>
      <c r="D616" t="s">
        <v>39</v>
      </c>
      <c r="E616" t="s">
        <v>11</v>
      </c>
      <c r="F616" s="1" t="d">
        <v>2024-07-16</v>
      </c>
      <c r="I616" t="str">
        <f>VLOOKUP(D616,Table3[#All],2,FALSE)</f>
        <v>S&amp;D</v>
      </c>
    </row>
    <row r="617" spans="1:9" x14ac:dyDescent="0.2">
      <c r="A617">
        <v>256964</v>
      </c>
      <c r="B617" t="s">
        <v>683</v>
      </c>
      <c r="C617" t="s">
        <v>13</v>
      </c>
      <c r="D617" t="s">
        <v>20</v>
      </c>
      <c r="E617" t="s">
        <v>11</v>
      </c>
      <c r="F617" s="1" t="d">
        <v>2024-07-16</v>
      </c>
      <c r="I617" t="str">
        <f>VLOOKUP(D617,Table3[#All],2,FALSE)</f>
        <v>Greens/EFA</v>
      </c>
    </row>
    <row r="618" spans="1:9" x14ac:dyDescent="0.2">
      <c r="A618">
        <v>270719</v>
      </c>
      <c r="B618" t="s">
        <v>684</v>
      </c>
      <c r="C618" t="s">
        <v>13</v>
      </c>
      <c r="D618" t="s">
        <v>33</v>
      </c>
      <c r="E618" t="s">
        <v>11</v>
      </c>
      <c r="F618" s="1" t="d">
        <v>2025-09-16</v>
      </c>
      <c r="I618" t="str">
        <f>VLOOKUP(D618,Table3[#All],2,FALSE)</f>
        <v>The Left</v>
      </c>
    </row>
    <row r="619" spans="1:9" x14ac:dyDescent="0.2">
      <c r="A619">
        <v>97058</v>
      </c>
      <c r="B619" t="s">
        <v>685</v>
      </c>
      <c r="C619" t="s">
        <v>114</v>
      </c>
      <c r="D619" t="s">
        <v>207</v>
      </c>
      <c r="E619" t="s">
        <v>11</v>
      </c>
      <c r="F619" s="1" t="d">
        <v>2019-07-02</v>
      </c>
      <c r="G619" s="1" t="d">
        <v>2024-07-15</v>
      </c>
      <c r="I619" t="str">
        <f>VLOOKUP(D619,Table3[#All],2,FALSE)</f>
        <v>Renew Europe</v>
      </c>
    </row>
    <row r="620" spans="1:9" x14ac:dyDescent="0.2">
      <c r="A620">
        <v>256833</v>
      </c>
      <c r="B620" t="s">
        <v>686</v>
      </c>
      <c r="C620" t="s">
        <v>27</v>
      </c>
      <c r="D620" t="s">
        <v>20</v>
      </c>
      <c r="E620" t="s">
        <v>11</v>
      </c>
      <c r="F620" s="1" t="d">
        <v>2024-07-16</v>
      </c>
      <c r="I620" t="str">
        <f>VLOOKUP(D620,Table3[#All],2,FALSE)</f>
        <v>Greens/EFA</v>
      </c>
    </row>
    <row r="621" spans="1:9" x14ac:dyDescent="0.2">
      <c r="A621">
        <v>257257</v>
      </c>
      <c r="B621" t="s">
        <v>687</v>
      </c>
      <c r="C621" t="s">
        <v>16</v>
      </c>
      <c r="D621" t="s">
        <v>46</v>
      </c>
      <c r="E621" t="s">
        <v>11</v>
      </c>
      <c r="F621" s="1" t="d">
        <v>2024-07-16</v>
      </c>
      <c r="I621" t="str">
        <f>VLOOKUP(D621,Table3[#All],2,FALSE)</f>
        <v>Renew Europe</v>
      </c>
    </row>
    <row r="622" spans="1:9" x14ac:dyDescent="0.2">
      <c r="A622">
        <v>197671</v>
      </c>
      <c r="B622" t="s">
        <v>688</v>
      </c>
      <c r="C622" t="s">
        <v>35</v>
      </c>
      <c r="D622" t="s">
        <v>29</v>
      </c>
      <c r="E622" t="s">
        <v>11</v>
      </c>
      <c r="F622" s="1" t="d">
        <v>2019-07-02</v>
      </c>
      <c r="G622" s="1" t="d">
        <v>2024-07-15</v>
      </c>
      <c r="I622" t="str">
        <f>VLOOKUP(D622,Table3[#All],2,FALSE)</f>
        <v>EPP</v>
      </c>
    </row>
    <row r="623" spans="1:9" x14ac:dyDescent="0.2">
      <c r="A623">
        <v>124710</v>
      </c>
      <c r="B623" t="s">
        <v>689</v>
      </c>
      <c r="C623" t="s">
        <v>41</v>
      </c>
      <c r="D623" t="s">
        <v>29</v>
      </c>
      <c r="E623" t="s">
        <v>11</v>
      </c>
      <c r="F623" s="1" t="d">
        <v>2019-07-02</v>
      </c>
      <c r="G623" s="1" t="d">
        <v>2024-07-15</v>
      </c>
      <c r="I623" t="str">
        <f>VLOOKUP(D623,Table3[#All],2,FALSE)</f>
        <v>EPP</v>
      </c>
    </row>
    <row r="624" spans="1:9" x14ac:dyDescent="0.2">
      <c r="A624">
        <v>96868</v>
      </c>
      <c r="B624" t="s">
        <v>690</v>
      </c>
      <c r="C624" t="s">
        <v>58</v>
      </c>
      <c r="D624" t="s">
        <v>158</v>
      </c>
      <c r="E624" t="s">
        <v>11</v>
      </c>
      <c r="F624" s="1" t="d">
        <v>2019-07-02</v>
      </c>
      <c r="G624" s="1" t="d">
        <v>2024-07-15</v>
      </c>
      <c r="I624" t="str">
        <f>VLOOKUP(D624,Table3[#All],2,FALSE)</f>
        <v>Greens/EFA</v>
      </c>
    </row>
    <row r="625" spans="1:9" x14ac:dyDescent="0.2">
      <c r="A625">
        <v>197520</v>
      </c>
      <c r="B625" t="s">
        <v>691</v>
      </c>
      <c r="C625" t="s">
        <v>44</v>
      </c>
      <c r="D625" t="s">
        <v>80</v>
      </c>
      <c r="E625" t="s">
        <v>11</v>
      </c>
      <c r="F625" s="1" t="d">
        <v>2019-07-02</v>
      </c>
      <c r="G625" s="1" t="d">
        <v>2024-07-15</v>
      </c>
      <c r="I625" t="str">
        <f>VLOOKUP(D625,Table3[#All],2,FALSE)</f>
        <v>ECR</v>
      </c>
    </row>
    <row r="626" spans="1:9" x14ac:dyDescent="0.2">
      <c r="A626">
        <v>197553</v>
      </c>
      <c r="B626" t="s">
        <v>692</v>
      </c>
      <c r="C626" t="s">
        <v>44</v>
      </c>
      <c r="D626" t="s">
        <v>17</v>
      </c>
      <c r="E626" t="s">
        <v>11</v>
      </c>
      <c r="F626" s="1" t="d">
        <v>2024-07-16</v>
      </c>
      <c r="I626" t="str">
        <f>VLOOKUP(D626,Table3[#All],2,FALSE)</f>
        <v>ECR</v>
      </c>
    </row>
    <row r="627" spans="1:9" x14ac:dyDescent="0.2">
      <c r="A627">
        <v>197719</v>
      </c>
      <c r="B627" t="s">
        <v>693</v>
      </c>
      <c r="C627" t="s">
        <v>22</v>
      </c>
      <c r="D627" t="s">
        <v>39</v>
      </c>
      <c r="E627" t="s">
        <v>11</v>
      </c>
      <c r="F627" s="1" t="d">
        <v>2024-07-16</v>
      </c>
      <c r="I627" t="str">
        <f>VLOOKUP(D627,Table3[#All],2,FALSE)</f>
        <v>S&amp;D</v>
      </c>
    </row>
    <row r="628" spans="1:9" x14ac:dyDescent="0.2">
      <c r="A628">
        <v>257010</v>
      </c>
      <c r="B628" t="s">
        <v>694</v>
      </c>
      <c r="C628" t="s">
        <v>191</v>
      </c>
      <c r="D628" t="s">
        <v>46</v>
      </c>
      <c r="E628" t="s">
        <v>11</v>
      </c>
      <c r="F628" s="1" t="d">
        <v>2024-07-16</v>
      </c>
      <c r="I628" t="str">
        <f>VLOOKUP(D628,Table3[#All],2,FALSE)</f>
        <v>Renew Europe</v>
      </c>
    </row>
    <row r="629" spans="1:9" x14ac:dyDescent="0.2">
      <c r="A629">
        <v>257027</v>
      </c>
      <c r="B629" t="s">
        <v>695</v>
      </c>
      <c r="C629" t="s">
        <v>22</v>
      </c>
      <c r="D629" t="s">
        <v>14</v>
      </c>
      <c r="E629" t="s">
        <v>11</v>
      </c>
      <c r="F629" s="1" t="d">
        <v>2024-07-16</v>
      </c>
      <c r="I629" t="str">
        <f>VLOOKUP(D629,Table3[#All],2,FALSE)</f>
        <v>EPP</v>
      </c>
    </row>
    <row r="630" spans="1:9" x14ac:dyDescent="0.2">
      <c r="A630">
        <v>112744</v>
      </c>
      <c r="B630" t="s">
        <v>696</v>
      </c>
      <c r="C630" t="s">
        <v>79</v>
      </c>
      <c r="D630" t="s">
        <v>39</v>
      </c>
      <c r="E630" t="s">
        <v>11</v>
      </c>
      <c r="F630" s="1" t="d">
        <v>2024-07-16</v>
      </c>
      <c r="I630" t="str">
        <f>VLOOKUP(D630,Table3[#All],2,FALSE)</f>
        <v>S&amp;D</v>
      </c>
    </row>
    <row r="631" spans="1:9" x14ac:dyDescent="0.2">
      <c r="A631">
        <v>96725</v>
      </c>
      <c r="B631" t="s">
        <v>697</v>
      </c>
      <c r="C631" t="s">
        <v>9</v>
      </c>
      <c r="D631" t="s">
        <v>20</v>
      </c>
      <c r="E631" t="s">
        <v>160</v>
      </c>
      <c r="F631" s="1" t="d">
        <v>2024-07-16</v>
      </c>
      <c r="I631" t="str">
        <f>VLOOKUP(D631,Table3[#All],2,FALSE)</f>
        <v>Greens/EFA</v>
      </c>
    </row>
    <row r="632" spans="1:9" x14ac:dyDescent="0.2">
      <c r="A632">
        <v>197503</v>
      </c>
      <c r="B632" t="s">
        <v>698</v>
      </c>
      <c r="C632" t="s">
        <v>58</v>
      </c>
      <c r="D632" t="s">
        <v>20</v>
      </c>
      <c r="E632" t="s">
        <v>11</v>
      </c>
      <c r="F632" s="1" t="d">
        <v>2024-07-16</v>
      </c>
      <c r="I632" t="str">
        <f>VLOOKUP(D632,Table3[#All],2,FALSE)</f>
        <v>Greens/EFA</v>
      </c>
    </row>
    <row r="633" spans="1:9" x14ac:dyDescent="0.2">
      <c r="A633">
        <v>197549</v>
      </c>
      <c r="B633" t="s">
        <v>699</v>
      </c>
      <c r="C633" t="s">
        <v>41</v>
      </c>
      <c r="D633" t="s">
        <v>20</v>
      </c>
      <c r="E633" t="s">
        <v>11</v>
      </c>
      <c r="F633" s="1" t="d">
        <v>2024-07-16</v>
      </c>
      <c r="I633" t="str">
        <f>VLOOKUP(D633,Table3[#All],2,FALSE)</f>
        <v>Greens/EFA</v>
      </c>
    </row>
    <row r="634" spans="1:9" x14ac:dyDescent="0.2">
      <c r="A634">
        <v>197692</v>
      </c>
      <c r="B634" t="s">
        <v>700</v>
      </c>
      <c r="C634" t="s">
        <v>48</v>
      </c>
      <c r="D634" t="s">
        <v>29</v>
      </c>
      <c r="E634" t="s">
        <v>11</v>
      </c>
      <c r="F634" s="1" t="d">
        <v>2019-07-02</v>
      </c>
      <c r="G634" s="1" t="d">
        <v>2024-07-15</v>
      </c>
      <c r="I634" t="str">
        <f>VLOOKUP(D634,Table3[#All],2,FALSE)</f>
        <v>EPP</v>
      </c>
    </row>
    <row r="635" spans="1:9" x14ac:dyDescent="0.2">
      <c r="A635">
        <v>124747</v>
      </c>
      <c r="B635" t="s">
        <v>701</v>
      </c>
      <c r="C635" t="s">
        <v>53</v>
      </c>
      <c r="D635" t="s">
        <v>180</v>
      </c>
      <c r="E635" t="s">
        <v>11</v>
      </c>
      <c r="F635" s="1" t="d">
        <v>2019-07-02</v>
      </c>
      <c r="G635" s="1" t="d">
        <v>2024-07-15</v>
      </c>
      <c r="I635" t="str">
        <f>VLOOKUP(D635,Table3[#All],2,FALSE)</f>
        <v>S&amp;D</v>
      </c>
    </row>
    <row r="636" spans="1:9" x14ac:dyDescent="0.2">
      <c r="A636">
        <v>125670</v>
      </c>
      <c r="B636" t="s">
        <v>702</v>
      </c>
      <c r="C636" t="s">
        <v>25</v>
      </c>
      <c r="D636" t="s">
        <v>14</v>
      </c>
      <c r="E636" t="s">
        <v>51</v>
      </c>
      <c r="F636" s="1" t="d">
        <v>2024-07-16</v>
      </c>
      <c r="I636" t="str">
        <f>VLOOKUP(D636,Table3[#All],2,FALSE)</f>
        <v>EPP</v>
      </c>
    </row>
    <row r="637" spans="1:9" x14ac:dyDescent="0.2">
      <c r="A637">
        <v>124856</v>
      </c>
      <c r="B637" t="s">
        <v>703</v>
      </c>
      <c r="C637" t="s">
        <v>25</v>
      </c>
      <c r="D637" t="s">
        <v>158</v>
      </c>
      <c r="E637" t="s">
        <v>11</v>
      </c>
      <c r="F637" s="1" t="d">
        <v>2020-12-09</v>
      </c>
      <c r="G637" s="1" t="d">
        <v>2024-07-15</v>
      </c>
      <c r="I637" t="str">
        <f>VLOOKUP(D637,Table3[#All],2,FALSE)</f>
        <v>Greens/EFA</v>
      </c>
    </row>
    <row r="638" spans="1:9" x14ac:dyDescent="0.2">
      <c r="A638">
        <v>197448</v>
      </c>
      <c r="B638" t="s">
        <v>704</v>
      </c>
      <c r="C638" t="s">
        <v>13</v>
      </c>
      <c r="D638" t="s">
        <v>20</v>
      </c>
      <c r="E638" t="s">
        <v>11</v>
      </c>
      <c r="F638" s="1" t="d">
        <v>2024-07-16</v>
      </c>
      <c r="I638" t="str">
        <f>VLOOKUP(D638,Table3[#All],2,FALSE)</f>
        <v>Greens/EFA</v>
      </c>
    </row>
    <row r="639" spans="1:9" x14ac:dyDescent="0.2">
      <c r="A639">
        <v>124812</v>
      </c>
      <c r="B639" t="s">
        <v>705</v>
      </c>
      <c r="C639" t="s">
        <v>25</v>
      </c>
      <c r="D639" t="s">
        <v>207</v>
      </c>
      <c r="E639" t="s">
        <v>11</v>
      </c>
      <c r="F639" s="1" t="d">
        <v>2024-02-08</v>
      </c>
      <c r="G639" s="1" t="d">
        <v>2024-07-15</v>
      </c>
      <c r="I639" t="str">
        <f>VLOOKUP(D639,Table3[#All],2,FALSE)</f>
        <v>Renew Europe</v>
      </c>
    </row>
    <row r="640" spans="1:9" x14ac:dyDescent="0.2">
      <c r="A640">
        <v>256830</v>
      </c>
      <c r="B640" t="s">
        <v>706</v>
      </c>
      <c r="C640" t="s">
        <v>27</v>
      </c>
      <c r="D640" t="s">
        <v>39</v>
      </c>
      <c r="E640" t="s">
        <v>11</v>
      </c>
      <c r="F640" s="1" t="d">
        <v>2024-07-16</v>
      </c>
      <c r="I640" t="str">
        <f>VLOOKUP(D640,Table3[#All],2,FALSE)</f>
        <v>S&amp;D</v>
      </c>
    </row>
    <row r="641" spans="1:9" x14ac:dyDescent="0.2">
      <c r="A641">
        <v>197636</v>
      </c>
      <c r="B641" t="s">
        <v>707</v>
      </c>
      <c r="C641" t="s">
        <v>35</v>
      </c>
      <c r="D641" t="s">
        <v>14</v>
      </c>
      <c r="E641" t="s">
        <v>11</v>
      </c>
      <c r="F641" s="1" t="d">
        <v>2024-07-16</v>
      </c>
      <c r="I641" t="str">
        <f>VLOOKUP(D641,Table3[#All],2,FALSE)</f>
        <v>EPP</v>
      </c>
    </row>
    <row r="642" spans="1:9" x14ac:dyDescent="0.2">
      <c r="A642">
        <v>96933</v>
      </c>
      <c r="B642" t="s">
        <v>708</v>
      </c>
      <c r="C642" t="s">
        <v>148</v>
      </c>
      <c r="D642" t="s">
        <v>14</v>
      </c>
      <c r="E642" t="s">
        <v>11</v>
      </c>
      <c r="F642" s="1" t="d">
        <v>2024-07-16</v>
      </c>
      <c r="I642" t="str">
        <f>VLOOKUP(D642,Table3[#All],2,FALSE)</f>
        <v>EPP</v>
      </c>
    </row>
    <row r="643" spans="1:9" x14ac:dyDescent="0.2">
      <c r="A643">
        <v>256807</v>
      </c>
      <c r="B643" t="s">
        <v>709</v>
      </c>
      <c r="C643" t="s">
        <v>65</v>
      </c>
      <c r="D643" t="s">
        <v>46</v>
      </c>
      <c r="E643" t="s">
        <v>18</v>
      </c>
      <c r="F643" s="1" t="d">
        <v>2024-07-16</v>
      </c>
      <c r="I643" t="str">
        <f>VLOOKUP(D643,Table3[#All],2,FALSE)</f>
        <v>Renew Europe</v>
      </c>
    </row>
    <row r="644" spans="1:9" x14ac:dyDescent="0.2">
      <c r="A644">
        <v>197547</v>
      </c>
      <c r="B644" t="s">
        <v>710</v>
      </c>
      <c r="C644" t="s">
        <v>58</v>
      </c>
      <c r="D644" t="s">
        <v>207</v>
      </c>
      <c r="E644" t="s">
        <v>11</v>
      </c>
      <c r="F644" s="1" t="d">
        <v>2019-07-02</v>
      </c>
      <c r="G644" s="1" t="d">
        <v>2024-07-15</v>
      </c>
      <c r="I644" t="str">
        <f>VLOOKUP(D644,Table3[#All],2,FALSE)</f>
        <v>Renew Europe</v>
      </c>
    </row>
    <row r="645" spans="1:9" x14ac:dyDescent="0.2">
      <c r="A645">
        <v>256875</v>
      </c>
      <c r="B645" t="s">
        <v>711</v>
      </c>
      <c r="C645" t="s">
        <v>58</v>
      </c>
      <c r="D645" t="s">
        <v>10</v>
      </c>
      <c r="E645" t="s">
        <v>11</v>
      </c>
      <c r="F645" s="1" t="d">
        <v>2024-07-16</v>
      </c>
      <c r="I645" t="str">
        <f>VLOOKUP(D645,Table3[#All],2,FALSE)</f>
        <v>PfE</v>
      </c>
    </row>
    <row r="646" spans="1:9" x14ac:dyDescent="0.2">
      <c r="A646">
        <v>257086</v>
      </c>
      <c r="B646" t="s">
        <v>712</v>
      </c>
      <c r="C646" t="s">
        <v>44</v>
      </c>
      <c r="D646" t="s">
        <v>17</v>
      </c>
      <c r="E646" t="s">
        <v>11</v>
      </c>
      <c r="F646" s="1" t="d">
        <v>2024-07-16</v>
      </c>
      <c r="I646" t="str">
        <f>VLOOKUP(D646,Table3[#All],2,FALSE)</f>
        <v>ECR</v>
      </c>
    </row>
    <row r="647" spans="1:9" x14ac:dyDescent="0.2">
      <c r="A647">
        <v>257163</v>
      </c>
      <c r="B647" t="s">
        <v>713</v>
      </c>
      <c r="C647" t="s">
        <v>25</v>
      </c>
      <c r="D647" t="s">
        <v>17</v>
      </c>
      <c r="E647" t="s">
        <v>11</v>
      </c>
      <c r="F647" s="1" t="d">
        <v>2024-07-16</v>
      </c>
      <c r="I647" t="str">
        <f>VLOOKUP(D647,Table3[#All],2,FALSE)</f>
        <v>ECR</v>
      </c>
    </row>
    <row r="648" spans="1:9" x14ac:dyDescent="0.2">
      <c r="A648">
        <v>124929</v>
      </c>
      <c r="B648" t="s">
        <v>714</v>
      </c>
      <c r="C648" t="s">
        <v>191</v>
      </c>
      <c r="D648" t="s">
        <v>29</v>
      </c>
      <c r="E648" t="s">
        <v>11</v>
      </c>
      <c r="F648" s="1" t="d">
        <v>2019-07-02</v>
      </c>
      <c r="G648" s="1" t="d">
        <v>2024-07-15</v>
      </c>
      <c r="I648" t="str">
        <f>VLOOKUP(D648,Table3[#All],2,FALSE)</f>
        <v>EPP</v>
      </c>
    </row>
    <row r="649" spans="1:9" x14ac:dyDescent="0.2">
      <c r="A649">
        <v>251268</v>
      </c>
      <c r="B649" t="s">
        <v>715</v>
      </c>
      <c r="C649" t="s">
        <v>13</v>
      </c>
      <c r="D649" t="s">
        <v>207</v>
      </c>
      <c r="E649" t="s">
        <v>11</v>
      </c>
      <c r="F649" s="1" t="d">
        <v>2024-01-01</v>
      </c>
      <c r="G649" s="1" t="d">
        <v>2024-07-15</v>
      </c>
      <c r="I649" t="str">
        <f>VLOOKUP(D649,Table3[#All],2,FALSE)</f>
        <v>Renew Europe</v>
      </c>
    </row>
    <row r="650" spans="1:9" x14ac:dyDescent="0.2">
      <c r="A650">
        <v>28618</v>
      </c>
      <c r="B650" t="s">
        <v>716</v>
      </c>
      <c r="C650" t="s">
        <v>61</v>
      </c>
      <c r="D650" t="s">
        <v>717</v>
      </c>
      <c r="E650" t="s">
        <v>11</v>
      </c>
      <c r="F650" s="1" t="d">
        <v>2014-07-01</v>
      </c>
      <c r="G650" s="1" t="d">
        <v>2014-10-31</v>
      </c>
      <c r="I650" t="str">
        <f>VLOOKUP(D650,Table3[#All],2,FALSE)</f>
        <v>EPP</v>
      </c>
    </row>
    <row r="651" spans="1:9" x14ac:dyDescent="0.2">
      <c r="A651">
        <v>256966</v>
      </c>
      <c r="B651" t="s">
        <v>718</v>
      </c>
      <c r="C651" t="s">
        <v>13</v>
      </c>
      <c r="D651" t="s">
        <v>49</v>
      </c>
      <c r="E651" t="s">
        <v>11</v>
      </c>
      <c r="F651" s="1" t="d">
        <v>2024-07-16</v>
      </c>
      <c r="I651" t="str">
        <f>VLOOKUP(D651,Table3[#All],2,FALSE)</f>
        <v>Non-attached</v>
      </c>
    </row>
    <row r="652" spans="1:9" x14ac:dyDescent="0.2">
      <c r="A652">
        <v>128483</v>
      </c>
      <c r="B652" t="s">
        <v>719</v>
      </c>
      <c r="C652" t="s">
        <v>13</v>
      </c>
      <c r="D652" t="s">
        <v>37</v>
      </c>
      <c r="E652" t="s">
        <v>11</v>
      </c>
      <c r="F652" s="1" t="d">
        <v>2024-07-16</v>
      </c>
      <c r="I652" t="str">
        <f>VLOOKUP(D652,Table3[#All],2,FALSE)</f>
        <v>ESN</v>
      </c>
    </row>
    <row r="653" spans="1:9" x14ac:dyDescent="0.2">
      <c r="A653">
        <v>28372</v>
      </c>
      <c r="B653" t="s">
        <v>720</v>
      </c>
      <c r="C653" t="s">
        <v>44</v>
      </c>
      <c r="D653" t="s">
        <v>80</v>
      </c>
      <c r="E653" t="s">
        <v>11</v>
      </c>
      <c r="F653" s="1" t="d">
        <v>2019-07-02</v>
      </c>
      <c r="G653" s="1" t="d">
        <v>2024-07-15</v>
      </c>
      <c r="I653" t="str">
        <f>VLOOKUP(D653,Table3[#All],2,FALSE)</f>
        <v>ECR</v>
      </c>
    </row>
    <row r="654" spans="1:9" x14ac:dyDescent="0.2">
      <c r="A654">
        <v>256976</v>
      </c>
      <c r="B654" t="s">
        <v>721</v>
      </c>
      <c r="C654" t="s">
        <v>9</v>
      </c>
      <c r="D654" t="s">
        <v>46</v>
      </c>
      <c r="E654" t="s">
        <v>11</v>
      </c>
      <c r="F654" s="1" t="d">
        <v>2024-07-16</v>
      </c>
      <c r="I654" t="str">
        <f>VLOOKUP(D654,Table3[#All],2,FALSE)</f>
        <v>Renew Europe</v>
      </c>
    </row>
    <row r="655" spans="1:9" x14ac:dyDescent="0.2">
      <c r="A655">
        <v>190519</v>
      </c>
      <c r="B655" t="s">
        <v>722</v>
      </c>
      <c r="C655" t="s">
        <v>9</v>
      </c>
      <c r="D655" t="s">
        <v>207</v>
      </c>
      <c r="E655" t="s">
        <v>11</v>
      </c>
      <c r="F655" s="1" t="d">
        <v>2019-07-02</v>
      </c>
      <c r="G655" s="1" t="d">
        <v>2024-07-15</v>
      </c>
      <c r="I655" t="str">
        <f>VLOOKUP(D655,Table3[#All],2,FALSE)</f>
        <v>Renew Europe</v>
      </c>
    </row>
    <row r="656" spans="1:9" x14ac:dyDescent="0.2">
      <c r="A656">
        <v>253008</v>
      </c>
      <c r="B656" t="s">
        <v>723</v>
      </c>
      <c r="C656" t="s">
        <v>71</v>
      </c>
      <c r="D656" t="s">
        <v>180</v>
      </c>
      <c r="E656" t="s">
        <v>11</v>
      </c>
      <c r="F656" s="1" t="d">
        <v>2024-02-27</v>
      </c>
      <c r="G656" s="1" t="d">
        <v>2024-07-15</v>
      </c>
      <c r="I656" t="str">
        <f>VLOOKUP(D656,Table3[#All],2,FALSE)</f>
        <v>S&amp;D</v>
      </c>
    </row>
    <row r="657" spans="1:9" x14ac:dyDescent="0.2">
      <c r="A657">
        <v>247709</v>
      </c>
      <c r="B657" t="s">
        <v>724</v>
      </c>
      <c r="C657" t="s">
        <v>9</v>
      </c>
      <c r="D657" t="s">
        <v>29</v>
      </c>
      <c r="E657" t="s">
        <v>11</v>
      </c>
      <c r="F657" s="1" t="d">
        <v>2023-09-14</v>
      </c>
      <c r="G657" s="1" t="d">
        <v>2024-07-15</v>
      </c>
      <c r="I657" t="str">
        <f>VLOOKUP(D657,Table3[#All],2,FALSE)</f>
        <v>EPP</v>
      </c>
    </row>
    <row r="658" spans="1:9" x14ac:dyDescent="0.2">
      <c r="A658">
        <v>124780</v>
      </c>
      <c r="B658" t="s">
        <v>725</v>
      </c>
      <c r="C658" t="s">
        <v>25</v>
      </c>
      <c r="D658" t="s">
        <v>112</v>
      </c>
      <c r="E658" t="s">
        <v>119</v>
      </c>
      <c r="F658" s="1" t="d">
        <v>2019-07-02</v>
      </c>
      <c r="G658" s="1" t="d">
        <v>2024-07-15</v>
      </c>
      <c r="I658" t="str">
        <f>VLOOKUP(D658,Table3[#All],2,FALSE)</f>
        <v>ID</v>
      </c>
    </row>
    <row r="659" spans="1:9" x14ac:dyDescent="0.2">
      <c r="A659">
        <v>257051</v>
      </c>
      <c r="B659" t="s">
        <v>726</v>
      </c>
      <c r="C659" t="s">
        <v>44</v>
      </c>
      <c r="D659" t="s">
        <v>14</v>
      </c>
      <c r="E659" t="s">
        <v>11</v>
      </c>
      <c r="F659" s="1" t="d">
        <v>2024-07-16</v>
      </c>
      <c r="I659" t="str">
        <f>VLOOKUP(D659,Table3[#All],2,FALSE)</f>
        <v>EPP</v>
      </c>
    </row>
    <row r="660" spans="1:9" x14ac:dyDescent="0.2">
      <c r="A660">
        <v>38595</v>
      </c>
      <c r="B660" t="s">
        <v>727</v>
      </c>
      <c r="C660" t="s">
        <v>35</v>
      </c>
      <c r="D660" t="s">
        <v>180</v>
      </c>
      <c r="E660" t="s">
        <v>51</v>
      </c>
      <c r="F660" s="1" t="d">
        <v>2019-07-02</v>
      </c>
      <c r="G660" s="1" t="d">
        <v>2024-07-15</v>
      </c>
      <c r="I660" t="str">
        <f>VLOOKUP(D660,Table3[#All],2,FALSE)</f>
        <v>S&amp;D</v>
      </c>
    </row>
    <row r="661" spans="1:9" x14ac:dyDescent="0.2">
      <c r="A661">
        <v>250572</v>
      </c>
      <c r="B661" t="s">
        <v>728</v>
      </c>
      <c r="C661" t="s">
        <v>22</v>
      </c>
      <c r="D661" t="s">
        <v>23</v>
      </c>
      <c r="E661" t="s">
        <v>11</v>
      </c>
      <c r="F661" s="1" t="d">
        <v>2023-11-30</v>
      </c>
      <c r="G661" s="1" t="d">
        <v>2024-07-15</v>
      </c>
      <c r="I661" t="str">
        <f>VLOOKUP(D661,Table3[#All],2,FALSE)</f>
        <v>The Left</v>
      </c>
    </row>
    <row r="662" spans="1:9" x14ac:dyDescent="0.2">
      <c r="A662">
        <v>256917</v>
      </c>
      <c r="B662" t="s">
        <v>729</v>
      </c>
      <c r="C662" t="s">
        <v>58</v>
      </c>
      <c r="D662" t="s">
        <v>20</v>
      </c>
      <c r="E662" t="s">
        <v>11</v>
      </c>
      <c r="F662" s="1" t="d">
        <v>2024-07-16</v>
      </c>
      <c r="I662" t="str">
        <f>VLOOKUP(D662,Table3[#All],2,FALSE)</f>
        <v>Greens/EFA</v>
      </c>
    </row>
    <row r="663" spans="1:9" x14ac:dyDescent="0.2">
      <c r="A663">
        <v>256898</v>
      </c>
      <c r="B663" t="s">
        <v>730</v>
      </c>
      <c r="C663" t="s">
        <v>58</v>
      </c>
      <c r="D663" t="s">
        <v>39</v>
      </c>
      <c r="E663" t="s">
        <v>11</v>
      </c>
      <c r="F663" s="1" t="d">
        <v>2024-07-16</v>
      </c>
      <c r="I663" t="str">
        <f>VLOOKUP(D663,Table3[#All],2,FALSE)</f>
        <v>S&amp;D</v>
      </c>
    </row>
    <row r="664" spans="1:9" x14ac:dyDescent="0.2">
      <c r="A664">
        <v>197728</v>
      </c>
      <c r="B664" t="s">
        <v>731</v>
      </c>
      <c r="C664" t="s">
        <v>22</v>
      </c>
      <c r="D664" t="s">
        <v>180</v>
      </c>
      <c r="E664" t="s">
        <v>11</v>
      </c>
      <c r="F664" s="1" t="d">
        <v>2019-07-02</v>
      </c>
      <c r="G664" s="1" t="d">
        <v>2024-07-15</v>
      </c>
      <c r="I664" t="str">
        <f>VLOOKUP(D664,Table3[#All],2,FALSE)</f>
        <v>S&amp;D</v>
      </c>
    </row>
    <row r="665" spans="1:9" x14ac:dyDescent="0.2">
      <c r="A665">
        <v>197567</v>
      </c>
      <c r="B665" t="s">
        <v>732</v>
      </c>
      <c r="C665" t="s">
        <v>131</v>
      </c>
      <c r="D665" t="s">
        <v>207</v>
      </c>
      <c r="E665" t="s">
        <v>11</v>
      </c>
      <c r="F665" s="1" t="d">
        <v>2019-07-02</v>
      </c>
      <c r="G665" s="1" t="d">
        <v>2024-07-15</v>
      </c>
      <c r="I665" t="str">
        <f>VLOOKUP(D665,Table3[#All],2,FALSE)</f>
        <v>Renew Europe</v>
      </c>
    </row>
    <row r="666" spans="1:9" x14ac:dyDescent="0.2">
      <c r="A666">
        <v>257016</v>
      </c>
      <c r="B666" t="s">
        <v>733</v>
      </c>
      <c r="C666" t="s">
        <v>22</v>
      </c>
      <c r="D666" t="s">
        <v>20</v>
      </c>
      <c r="E666" t="s">
        <v>11</v>
      </c>
      <c r="F666" s="1" t="d">
        <v>2024-07-16</v>
      </c>
      <c r="I666" t="str">
        <f>VLOOKUP(D666,Table3[#All],2,FALSE)</f>
        <v>Greens/EFA</v>
      </c>
    </row>
    <row r="667" spans="1:9" x14ac:dyDescent="0.2">
      <c r="A667">
        <v>5736</v>
      </c>
      <c r="B667" t="s">
        <v>734</v>
      </c>
      <c r="C667" t="s">
        <v>58</v>
      </c>
      <c r="D667" t="s">
        <v>10</v>
      </c>
      <c r="E667" t="s">
        <v>11</v>
      </c>
      <c r="F667" s="1" t="d">
        <v>2024-07-16</v>
      </c>
      <c r="I667" t="str">
        <f>VLOOKUP(D667,Table3[#All],2,FALSE)</f>
        <v>PfE</v>
      </c>
    </row>
    <row r="668" spans="1:9" x14ac:dyDescent="0.2">
      <c r="A668">
        <v>197460</v>
      </c>
      <c r="B668" t="s">
        <v>735</v>
      </c>
      <c r="C668" t="s">
        <v>13</v>
      </c>
      <c r="D668" t="s">
        <v>20</v>
      </c>
      <c r="E668" t="s">
        <v>51</v>
      </c>
      <c r="F668" s="1" t="d">
        <v>2024-11-13</v>
      </c>
      <c r="I668" t="str">
        <f>VLOOKUP(D668,Table3[#All],2,FALSE)</f>
        <v>Greens/EFA</v>
      </c>
    </row>
    <row r="669" spans="1:9" x14ac:dyDescent="0.2">
      <c r="A669">
        <v>182995</v>
      </c>
      <c r="B669" t="s">
        <v>736</v>
      </c>
      <c r="C669" t="s">
        <v>58</v>
      </c>
      <c r="D669" t="s">
        <v>112</v>
      </c>
      <c r="E669" t="s">
        <v>11</v>
      </c>
      <c r="F669" s="1" t="d">
        <v>2019-07-02</v>
      </c>
      <c r="G669" s="1" t="d">
        <v>2024-07-15</v>
      </c>
      <c r="I669" t="str">
        <f>VLOOKUP(D669,Table3[#All],2,FALSE)</f>
        <v>ID</v>
      </c>
    </row>
    <row r="670" spans="1:9" x14ac:dyDescent="0.2">
      <c r="A670">
        <v>257300</v>
      </c>
      <c r="B670" t="s">
        <v>737</v>
      </c>
      <c r="C670" t="s">
        <v>69</v>
      </c>
      <c r="D670" t="s">
        <v>46</v>
      </c>
      <c r="E670" t="s">
        <v>11</v>
      </c>
      <c r="F670" s="1" t="d">
        <v>2024-07-16</v>
      </c>
      <c r="I670" t="str">
        <f>VLOOKUP(D670,Table3[#All],2,FALSE)</f>
        <v>Renew Europe</v>
      </c>
    </row>
    <row r="671" spans="1:9" x14ac:dyDescent="0.2">
      <c r="A671">
        <v>256920</v>
      </c>
      <c r="B671" t="s">
        <v>738</v>
      </c>
      <c r="C671" t="s">
        <v>58</v>
      </c>
      <c r="D671" t="s">
        <v>14</v>
      </c>
      <c r="E671" t="s">
        <v>11</v>
      </c>
      <c r="F671" s="1" t="d">
        <v>2024-07-16</v>
      </c>
      <c r="I671" t="str">
        <f>VLOOKUP(D671,Table3[#All],2,FALSE)</f>
        <v>EPP</v>
      </c>
    </row>
    <row r="672" spans="1:9" x14ac:dyDescent="0.2">
      <c r="A672">
        <v>197687</v>
      </c>
      <c r="B672" t="s">
        <v>739</v>
      </c>
      <c r="C672" t="s">
        <v>58</v>
      </c>
      <c r="D672" t="s">
        <v>10</v>
      </c>
      <c r="E672" t="s">
        <v>11</v>
      </c>
      <c r="F672" s="1" t="d">
        <v>2024-07-16</v>
      </c>
      <c r="I672" t="str">
        <f>VLOOKUP(D672,Table3[#All],2,FALSE)</f>
        <v>PfE</v>
      </c>
    </row>
    <row r="673" spans="1:9" x14ac:dyDescent="0.2">
      <c r="A673">
        <v>256861</v>
      </c>
      <c r="B673" t="s">
        <v>740</v>
      </c>
      <c r="C673" t="s">
        <v>108</v>
      </c>
      <c r="D673" t="s">
        <v>14</v>
      </c>
      <c r="E673" t="s">
        <v>11</v>
      </c>
      <c r="F673" s="1" t="d">
        <v>2024-07-16</v>
      </c>
      <c r="I673" t="str">
        <f>VLOOKUP(D673,Table3[#All],2,FALSE)</f>
        <v>EPP</v>
      </c>
    </row>
    <row r="674" spans="1:9" x14ac:dyDescent="0.2">
      <c r="A674">
        <v>256891</v>
      </c>
      <c r="B674" t="s">
        <v>741</v>
      </c>
      <c r="C674" t="s">
        <v>114</v>
      </c>
      <c r="D674" t="s">
        <v>46</v>
      </c>
      <c r="E674" t="s">
        <v>11</v>
      </c>
      <c r="F674" s="1" t="d">
        <v>2024-07-16</v>
      </c>
      <c r="I674" t="str">
        <f>VLOOKUP(D674,Table3[#All],2,FALSE)</f>
        <v>Renew Europe</v>
      </c>
    </row>
    <row r="675" spans="1:9" x14ac:dyDescent="0.2">
      <c r="A675">
        <v>197595</v>
      </c>
      <c r="B675" t="s">
        <v>742</v>
      </c>
      <c r="C675" t="s">
        <v>108</v>
      </c>
      <c r="D675" t="s">
        <v>207</v>
      </c>
      <c r="E675" t="s">
        <v>11</v>
      </c>
      <c r="F675" s="1" t="d">
        <v>2019-07-02</v>
      </c>
      <c r="G675" s="1" t="d">
        <v>2024-07-15</v>
      </c>
      <c r="I675" t="str">
        <f>VLOOKUP(D675,Table3[#All],2,FALSE)</f>
        <v>Renew Europe</v>
      </c>
    </row>
    <row r="676" spans="1:9" x14ac:dyDescent="0.2">
      <c r="A676">
        <v>257457</v>
      </c>
      <c r="B676" t="s">
        <v>743</v>
      </c>
      <c r="C676" t="s">
        <v>108</v>
      </c>
      <c r="D676" t="s">
        <v>37</v>
      </c>
      <c r="E676" t="s">
        <v>11</v>
      </c>
      <c r="F676" s="1" t="d">
        <v>2024-07-16</v>
      </c>
      <c r="I676" t="str">
        <f>VLOOKUP(D676,Table3[#All],2,FALSE)</f>
        <v>ESN</v>
      </c>
    </row>
    <row r="677" spans="1:9" x14ac:dyDescent="0.2">
      <c r="A677">
        <v>193419</v>
      </c>
      <c r="B677" t="s">
        <v>744</v>
      </c>
      <c r="C677" t="s">
        <v>314</v>
      </c>
      <c r="D677" t="s">
        <v>14</v>
      </c>
      <c r="E677" t="s">
        <v>11</v>
      </c>
      <c r="F677" s="1" t="d">
        <v>2024-07-16</v>
      </c>
      <c r="G677" s="1" t="d">
        <v>2024-11-30</v>
      </c>
      <c r="I677" t="str">
        <f>VLOOKUP(D677,Table3[#All],2,FALSE)</f>
        <v>EPP</v>
      </c>
    </row>
    <row r="678" spans="1:9" x14ac:dyDescent="0.2">
      <c r="A678">
        <v>256919</v>
      </c>
      <c r="B678" t="s">
        <v>745</v>
      </c>
      <c r="C678" t="s">
        <v>58</v>
      </c>
      <c r="D678" t="s">
        <v>14</v>
      </c>
      <c r="E678" t="s">
        <v>11</v>
      </c>
      <c r="F678" s="1" t="d">
        <v>2024-07-16</v>
      </c>
      <c r="I678" t="str">
        <f>VLOOKUP(D678,Table3[#All],2,FALSE)</f>
        <v>EPP</v>
      </c>
    </row>
    <row r="679" spans="1:9" x14ac:dyDescent="0.2">
      <c r="A679">
        <v>125046</v>
      </c>
      <c r="B679" t="s">
        <v>746</v>
      </c>
      <c r="C679" t="s">
        <v>22</v>
      </c>
      <c r="D679" t="s">
        <v>39</v>
      </c>
      <c r="E679" t="s">
        <v>11</v>
      </c>
      <c r="F679" s="1" t="d">
        <v>2024-07-16</v>
      </c>
      <c r="I679" t="str">
        <f>VLOOKUP(D679,Table3[#All],2,FALSE)</f>
        <v>S&amp;D</v>
      </c>
    </row>
    <row r="680" spans="1:9" x14ac:dyDescent="0.2">
      <c r="A680">
        <v>197482</v>
      </c>
      <c r="B680" t="s">
        <v>747</v>
      </c>
      <c r="C680" t="s">
        <v>13</v>
      </c>
      <c r="D680" t="s">
        <v>146</v>
      </c>
      <c r="E680" t="s">
        <v>11</v>
      </c>
      <c r="F680" s="1" t="d">
        <v>2024-05-23</v>
      </c>
      <c r="G680" s="1" t="d">
        <v>2024-07-15</v>
      </c>
      <c r="I680" t="str">
        <f>VLOOKUP(D680,Table3[#All],2,FALSE)</f>
        <v>EPP</v>
      </c>
    </row>
    <row r="681" spans="1:9" x14ac:dyDescent="0.2">
      <c r="A681">
        <v>257018</v>
      </c>
      <c r="B681" t="s">
        <v>748</v>
      </c>
      <c r="C681" t="s">
        <v>191</v>
      </c>
      <c r="D681" t="s">
        <v>49</v>
      </c>
      <c r="E681" t="s">
        <v>11</v>
      </c>
      <c r="F681" s="1" t="d">
        <v>2024-07-16</v>
      </c>
      <c r="I681" t="str">
        <f>VLOOKUP(D681,Table3[#All],2,FALSE)</f>
        <v>Non-attached</v>
      </c>
    </row>
    <row r="682" spans="1:9" x14ac:dyDescent="0.2">
      <c r="A682">
        <v>22418</v>
      </c>
      <c r="B682" t="s">
        <v>749</v>
      </c>
      <c r="C682" t="s">
        <v>22</v>
      </c>
      <c r="D682" t="s">
        <v>14</v>
      </c>
      <c r="E682" t="s">
        <v>11</v>
      </c>
      <c r="F682" s="1" t="d">
        <v>2024-07-16</v>
      </c>
      <c r="I682" t="str">
        <f>VLOOKUP(D682,Table3[#All],2,FALSE)</f>
        <v>EPP</v>
      </c>
    </row>
    <row r="683" spans="1:9" x14ac:dyDescent="0.2">
      <c r="A683">
        <v>124736</v>
      </c>
      <c r="B683" t="s">
        <v>750</v>
      </c>
      <c r="C683" t="s">
        <v>96</v>
      </c>
      <c r="D683" t="s">
        <v>33</v>
      </c>
      <c r="E683" t="s">
        <v>11</v>
      </c>
      <c r="F683" s="1" t="d">
        <v>2024-07-16</v>
      </c>
      <c r="I683" t="str">
        <f>VLOOKUP(D683,Table3[#All],2,FALSE)</f>
        <v>The Left</v>
      </c>
    </row>
    <row r="684" spans="1:9" x14ac:dyDescent="0.2">
      <c r="A684">
        <v>28303</v>
      </c>
      <c r="B684" t="s">
        <v>751</v>
      </c>
      <c r="C684" t="s">
        <v>53</v>
      </c>
      <c r="D684" t="s">
        <v>424</v>
      </c>
      <c r="E684" t="s">
        <v>11</v>
      </c>
      <c r="F684" s="1" t="d">
        <v>2004-07-20</v>
      </c>
      <c r="G684" s="1" t="d">
        <v>2005-03-11</v>
      </c>
      <c r="I684" t="str">
        <f>VLOOKUP(D684,Table3[#All],2,FALSE)</f>
        <v>S&amp;D</v>
      </c>
    </row>
    <row r="685" spans="1:9" x14ac:dyDescent="0.2">
      <c r="A685">
        <v>197667</v>
      </c>
      <c r="B685" t="s">
        <v>752</v>
      </c>
      <c r="C685" t="s">
        <v>27</v>
      </c>
      <c r="D685" t="s">
        <v>29</v>
      </c>
      <c r="E685" t="s">
        <v>11</v>
      </c>
      <c r="F685" s="1" t="d">
        <v>2019-07-02</v>
      </c>
      <c r="G685" s="1" t="d">
        <v>2024-07-15</v>
      </c>
      <c r="I685" t="str">
        <f>VLOOKUP(D685,Table3[#All],2,FALSE)</f>
        <v>EPP</v>
      </c>
    </row>
    <row r="686" spans="1:9" x14ac:dyDescent="0.2">
      <c r="A686">
        <v>256989</v>
      </c>
      <c r="B686" t="s">
        <v>753</v>
      </c>
      <c r="C686" t="s">
        <v>85</v>
      </c>
      <c r="D686" t="s">
        <v>49</v>
      </c>
      <c r="E686" t="s">
        <v>11</v>
      </c>
      <c r="F686" s="1" t="d">
        <v>2024-07-16</v>
      </c>
      <c r="I686" t="str">
        <f>VLOOKUP(D686,Table3[#All],2,FALSE)</f>
        <v>Non-attached</v>
      </c>
    </row>
    <row r="687" spans="1:9" x14ac:dyDescent="0.2">
      <c r="A687">
        <v>96852</v>
      </c>
      <c r="B687" t="s">
        <v>754</v>
      </c>
      <c r="C687" t="s">
        <v>13</v>
      </c>
      <c r="D687" t="s">
        <v>23</v>
      </c>
      <c r="E687" t="s">
        <v>11</v>
      </c>
      <c r="F687" s="1" t="d">
        <v>2020-12-18</v>
      </c>
      <c r="G687" s="1" t="d">
        <v>2024-07-15</v>
      </c>
      <c r="I687" t="str">
        <f>VLOOKUP(D687,Table3[#All],2,FALSE)</f>
        <v>The Left</v>
      </c>
    </row>
    <row r="688" spans="1:9" x14ac:dyDescent="0.2">
      <c r="A688">
        <v>197662</v>
      </c>
      <c r="B688" t="s">
        <v>755</v>
      </c>
      <c r="C688" t="s">
        <v>48</v>
      </c>
      <c r="D688" t="s">
        <v>14</v>
      </c>
      <c r="E688" t="s">
        <v>11</v>
      </c>
      <c r="F688" s="1" t="d">
        <v>2024-07-16</v>
      </c>
      <c r="I688" t="str">
        <f>VLOOKUP(D688,Table3[#All],2,FALSE)</f>
        <v>EPP</v>
      </c>
    </row>
    <row r="689" spans="1:9" x14ac:dyDescent="0.2">
      <c r="A689">
        <v>257128</v>
      </c>
      <c r="B689" t="s">
        <v>756</v>
      </c>
      <c r="C689" t="s">
        <v>25</v>
      </c>
      <c r="D689" t="s">
        <v>14</v>
      </c>
      <c r="E689" t="s">
        <v>11</v>
      </c>
      <c r="F689" s="1" t="d">
        <v>2024-07-16</v>
      </c>
      <c r="I689" t="str">
        <f>VLOOKUP(D689,Table3[#All],2,FALSE)</f>
        <v>EPP</v>
      </c>
    </row>
    <row r="690" spans="1:9" x14ac:dyDescent="0.2">
      <c r="A690">
        <v>125063</v>
      </c>
      <c r="B690" t="s">
        <v>757</v>
      </c>
      <c r="C690" t="s">
        <v>48</v>
      </c>
      <c r="D690" t="s">
        <v>207</v>
      </c>
      <c r="E690" t="s">
        <v>11</v>
      </c>
      <c r="F690" s="1" t="d">
        <v>2022-05-05</v>
      </c>
      <c r="G690" s="1" t="d">
        <v>2024-07-15</v>
      </c>
      <c r="I690" t="str">
        <f>VLOOKUP(D690,Table3[#All],2,FALSE)</f>
        <v>Renew Europe</v>
      </c>
    </row>
    <row r="691" spans="1:9" x14ac:dyDescent="0.2">
      <c r="A691">
        <v>197628</v>
      </c>
      <c r="B691" t="s">
        <v>758</v>
      </c>
      <c r="C691" t="s">
        <v>58</v>
      </c>
      <c r="D691" t="s">
        <v>10</v>
      </c>
      <c r="E691" t="s">
        <v>18</v>
      </c>
      <c r="F691" s="1" t="d">
        <v>2024-07-16</v>
      </c>
      <c r="I691" t="str">
        <f>VLOOKUP(D691,Table3[#All],2,FALSE)</f>
        <v>PfE</v>
      </c>
    </row>
    <row r="692" spans="1:9" x14ac:dyDescent="0.2">
      <c r="A692">
        <v>197404</v>
      </c>
      <c r="B692" t="s">
        <v>759</v>
      </c>
      <c r="C692" t="s">
        <v>71</v>
      </c>
      <c r="D692" t="s">
        <v>14</v>
      </c>
      <c r="E692" t="s">
        <v>11</v>
      </c>
      <c r="F692" s="1" t="d">
        <v>2024-07-16</v>
      </c>
      <c r="I692" t="str">
        <f>VLOOKUP(D692,Table3[#All],2,FALSE)</f>
        <v>EPP</v>
      </c>
    </row>
    <row r="693" spans="1:9" x14ac:dyDescent="0.2">
      <c r="A693">
        <v>257077</v>
      </c>
      <c r="B693" t="s">
        <v>760</v>
      </c>
      <c r="C693" t="s">
        <v>44</v>
      </c>
      <c r="D693" t="s">
        <v>17</v>
      </c>
      <c r="E693" t="s">
        <v>11</v>
      </c>
      <c r="F693" s="1" t="d">
        <v>2024-07-16</v>
      </c>
      <c r="I693" t="str">
        <f>VLOOKUP(D693,Table3[#All],2,FALSE)</f>
        <v>ECR</v>
      </c>
    </row>
    <row r="694" spans="1:9" x14ac:dyDescent="0.2">
      <c r="A694">
        <v>127096</v>
      </c>
      <c r="B694" t="s">
        <v>761</v>
      </c>
      <c r="C694" t="s">
        <v>22</v>
      </c>
      <c r="D694" t="s">
        <v>180</v>
      </c>
      <c r="E694" t="s">
        <v>11</v>
      </c>
      <c r="F694" s="1" t="d">
        <v>2019-07-02</v>
      </c>
      <c r="G694" s="1" t="d">
        <v>2024-07-15</v>
      </c>
      <c r="I694" t="str">
        <f>VLOOKUP(D694,Table3[#All],2,FALSE)</f>
        <v>S&amp;D</v>
      </c>
    </row>
    <row r="695" spans="1:9" x14ac:dyDescent="0.2">
      <c r="A695">
        <v>197825</v>
      </c>
      <c r="B695" t="s">
        <v>762</v>
      </c>
      <c r="C695" t="s">
        <v>25</v>
      </c>
      <c r="D695" t="s">
        <v>10</v>
      </c>
      <c r="E695" t="s">
        <v>11</v>
      </c>
      <c r="F695" s="1" t="d">
        <v>2024-07-16</v>
      </c>
      <c r="I695" t="str">
        <f>VLOOKUP(D695,Table3[#All],2,FALSE)</f>
        <v>PfE</v>
      </c>
    </row>
    <row r="696" spans="1:9" x14ac:dyDescent="0.2">
      <c r="A696">
        <v>257028</v>
      </c>
      <c r="B696" t="s">
        <v>763</v>
      </c>
      <c r="C696" t="s">
        <v>131</v>
      </c>
      <c r="D696" t="s">
        <v>14</v>
      </c>
      <c r="E696" t="s">
        <v>11</v>
      </c>
      <c r="F696" s="1" t="d">
        <v>2024-07-16</v>
      </c>
      <c r="I696" t="str">
        <f>VLOOKUP(D696,Table3[#All],2,FALSE)</f>
        <v>EPP</v>
      </c>
    </row>
    <row r="697" spans="1:9" x14ac:dyDescent="0.2">
      <c r="A697">
        <v>197406</v>
      </c>
      <c r="B697" t="s">
        <v>764</v>
      </c>
      <c r="C697" t="s">
        <v>71</v>
      </c>
      <c r="D697" t="s">
        <v>14</v>
      </c>
      <c r="E697" t="s">
        <v>11</v>
      </c>
      <c r="F697" s="1" t="d">
        <v>2024-07-16</v>
      </c>
      <c r="I697" t="str">
        <f>VLOOKUP(D697,Table3[#All],2,FALSE)</f>
        <v>EPP</v>
      </c>
    </row>
    <row r="698" spans="1:9" x14ac:dyDescent="0.2">
      <c r="A698">
        <v>124696</v>
      </c>
      <c r="B698" t="s">
        <v>765</v>
      </c>
      <c r="C698" t="s">
        <v>63</v>
      </c>
      <c r="D698" t="s">
        <v>207</v>
      </c>
      <c r="E698" t="s">
        <v>11</v>
      </c>
      <c r="F698" s="1" t="d">
        <v>2019-07-02</v>
      </c>
      <c r="G698" s="1" t="d">
        <v>2024-07-15</v>
      </c>
      <c r="I698" t="str">
        <f>VLOOKUP(D698,Table3[#All],2,FALSE)</f>
        <v>Renew Europe</v>
      </c>
    </row>
    <row r="699" spans="1:9" x14ac:dyDescent="0.2">
      <c r="A699">
        <v>257255</v>
      </c>
      <c r="B699" t="s">
        <v>766</v>
      </c>
      <c r="C699" t="s">
        <v>16</v>
      </c>
      <c r="D699" t="s">
        <v>37</v>
      </c>
      <c r="E699" t="s">
        <v>51</v>
      </c>
      <c r="F699" s="1" t="d">
        <v>2024-07-16</v>
      </c>
      <c r="I699" t="str">
        <f>VLOOKUP(D699,Table3[#All],2,FALSE)</f>
        <v>ESN</v>
      </c>
    </row>
    <row r="700" spans="1:9" x14ac:dyDescent="0.2">
      <c r="A700">
        <v>256803</v>
      </c>
      <c r="B700" t="s">
        <v>767</v>
      </c>
      <c r="C700" t="s">
        <v>96</v>
      </c>
      <c r="D700" t="s">
        <v>39</v>
      </c>
      <c r="E700" t="s">
        <v>11</v>
      </c>
      <c r="F700" s="1" t="d">
        <v>2024-07-16</v>
      </c>
      <c r="I700" t="str">
        <f>VLOOKUP(D700,Table3[#All],2,FALSE)</f>
        <v>S&amp;D</v>
      </c>
    </row>
    <row r="701" spans="1:9" x14ac:dyDescent="0.2">
      <c r="A701">
        <v>197650</v>
      </c>
      <c r="B701" t="s">
        <v>768</v>
      </c>
      <c r="C701" t="s">
        <v>53</v>
      </c>
      <c r="D701" t="s">
        <v>180</v>
      </c>
      <c r="E701" t="s">
        <v>11</v>
      </c>
      <c r="F701" s="1" t="d">
        <v>2019-07-02</v>
      </c>
      <c r="G701" s="1" t="d">
        <v>2024-07-15</v>
      </c>
      <c r="I701" t="str">
        <f>VLOOKUP(D701,Table3[#All],2,FALSE)</f>
        <v>S&amp;D</v>
      </c>
    </row>
    <row r="702" spans="1:9" x14ac:dyDescent="0.2">
      <c r="A702">
        <v>96780</v>
      </c>
      <c r="B702" t="s">
        <v>769</v>
      </c>
      <c r="C702" t="s">
        <v>13</v>
      </c>
      <c r="D702" t="s">
        <v>14</v>
      </c>
      <c r="E702" t="s">
        <v>11</v>
      </c>
      <c r="F702" s="1" t="d">
        <v>2024-07-16</v>
      </c>
      <c r="I702" t="str">
        <f>VLOOKUP(D702,Table3[#All],2,FALSE)</f>
        <v>EPP</v>
      </c>
    </row>
    <row r="703" spans="1:9" x14ac:dyDescent="0.2">
      <c r="A703">
        <v>256896</v>
      </c>
      <c r="B703" t="s">
        <v>770</v>
      </c>
      <c r="C703" t="s">
        <v>58</v>
      </c>
      <c r="D703" t="s">
        <v>10</v>
      </c>
      <c r="E703" t="s">
        <v>11</v>
      </c>
      <c r="F703" s="1" t="d">
        <v>2024-07-16</v>
      </c>
      <c r="I703" t="str">
        <f>VLOOKUP(D703,Table3[#All],2,FALSE)</f>
        <v>PfE</v>
      </c>
    </row>
    <row r="704" spans="1:9" x14ac:dyDescent="0.2">
      <c r="A704">
        <v>197489</v>
      </c>
      <c r="B704" t="s">
        <v>771</v>
      </c>
      <c r="C704" t="s">
        <v>13</v>
      </c>
      <c r="D704" t="s">
        <v>146</v>
      </c>
      <c r="E704" t="s">
        <v>11</v>
      </c>
      <c r="F704" s="1" t="d">
        <v>2024-05-23</v>
      </c>
      <c r="G704" s="1" t="d">
        <v>2024-07-15</v>
      </c>
      <c r="I704" t="str">
        <f>VLOOKUP(D704,Table3[#All],2,FALSE)</f>
        <v>EPP</v>
      </c>
    </row>
    <row r="705" spans="1:9" x14ac:dyDescent="0.2">
      <c r="A705">
        <v>256934</v>
      </c>
      <c r="B705" t="s">
        <v>772</v>
      </c>
      <c r="C705" t="s">
        <v>73</v>
      </c>
      <c r="D705" t="s">
        <v>39</v>
      </c>
      <c r="E705" t="s">
        <v>11</v>
      </c>
      <c r="F705" s="1" t="d">
        <v>2024-07-16</v>
      </c>
      <c r="I705" t="str">
        <f>VLOOKUP(D705,Table3[#All],2,FALSE)</f>
        <v>S&amp;D</v>
      </c>
    </row>
    <row r="706" spans="1:9" x14ac:dyDescent="0.2">
      <c r="A706">
        <v>257046</v>
      </c>
      <c r="B706" t="s">
        <v>773</v>
      </c>
      <c r="C706" t="s">
        <v>44</v>
      </c>
      <c r="D706" t="s">
        <v>14</v>
      </c>
      <c r="E706" t="s">
        <v>11</v>
      </c>
      <c r="F706" s="1" t="d">
        <v>2024-07-16</v>
      </c>
      <c r="I706" t="str">
        <f>VLOOKUP(D706,Table3[#All],2,FALSE)</f>
        <v>EPP</v>
      </c>
    </row>
    <row r="707" spans="1:9" x14ac:dyDescent="0.2">
      <c r="A707">
        <v>96885</v>
      </c>
      <c r="B707" t="s">
        <v>774</v>
      </c>
      <c r="C707" t="s">
        <v>58</v>
      </c>
      <c r="D707" t="s">
        <v>207</v>
      </c>
      <c r="E707" t="s">
        <v>51</v>
      </c>
      <c r="F707" s="1" t="d">
        <v>2019-07-02</v>
      </c>
      <c r="G707" s="1" t="d">
        <v>2024-07-15</v>
      </c>
      <c r="I707" t="str">
        <f>VLOOKUP(D707,Table3[#All],2,FALSE)</f>
        <v>Renew Europe</v>
      </c>
    </row>
    <row r="708" spans="1:9" x14ac:dyDescent="0.2">
      <c r="A708">
        <v>197684</v>
      </c>
      <c r="B708" t="s">
        <v>775</v>
      </c>
      <c r="C708" t="s">
        <v>22</v>
      </c>
      <c r="D708" t="s">
        <v>33</v>
      </c>
      <c r="E708" t="s">
        <v>18</v>
      </c>
      <c r="F708" s="1" t="d">
        <v>2024-07-18</v>
      </c>
      <c r="I708" t="str">
        <f>VLOOKUP(D708,Table3[#All],2,FALSE)</f>
        <v>The Left</v>
      </c>
    </row>
    <row r="709" spans="1:9" x14ac:dyDescent="0.2">
      <c r="A709">
        <v>256925</v>
      </c>
      <c r="B709" t="s">
        <v>776</v>
      </c>
      <c r="C709" t="s">
        <v>58</v>
      </c>
      <c r="D709" t="s">
        <v>17</v>
      </c>
      <c r="E709" t="s">
        <v>11</v>
      </c>
      <c r="F709" s="1" t="d">
        <v>2024-07-16</v>
      </c>
      <c r="I709" t="str">
        <f>VLOOKUP(D709,Table3[#All],2,FALSE)</f>
        <v>ECR</v>
      </c>
    </row>
    <row r="710" spans="1:9" x14ac:dyDescent="0.2">
      <c r="A710">
        <v>197804</v>
      </c>
      <c r="B710" t="s">
        <v>777</v>
      </c>
      <c r="C710" t="s">
        <v>25</v>
      </c>
      <c r="D710" t="s">
        <v>146</v>
      </c>
      <c r="E710" t="s">
        <v>11</v>
      </c>
      <c r="F710" s="1" t="d">
        <v>2019-07-02</v>
      </c>
      <c r="G710" s="1" t="d">
        <v>2024-07-15</v>
      </c>
      <c r="I710" t="str">
        <f>VLOOKUP(D710,Table3[#All],2,FALSE)</f>
        <v>EPP</v>
      </c>
    </row>
    <row r="711" spans="1:9" x14ac:dyDescent="0.2">
      <c r="A711">
        <v>113523</v>
      </c>
      <c r="B711" t="s">
        <v>778</v>
      </c>
      <c r="C711" t="s">
        <v>73</v>
      </c>
      <c r="D711" t="s">
        <v>14</v>
      </c>
      <c r="E711" t="s">
        <v>11</v>
      </c>
      <c r="F711" s="1" t="d">
        <v>2024-07-16</v>
      </c>
      <c r="I711" t="str">
        <f>VLOOKUP(D711,Table3[#All],2,FALSE)</f>
        <v>EPP</v>
      </c>
    </row>
    <row r="712" spans="1:9" x14ac:dyDescent="0.2">
      <c r="A712">
        <v>197508</v>
      </c>
      <c r="B712" t="s">
        <v>779</v>
      </c>
      <c r="C712" t="s">
        <v>58</v>
      </c>
      <c r="D712" t="s">
        <v>207</v>
      </c>
      <c r="E712" t="s">
        <v>119</v>
      </c>
      <c r="F712" s="1" t="d">
        <v>2021-10-19</v>
      </c>
      <c r="G712" s="1" t="d">
        <v>2024-01-11</v>
      </c>
      <c r="I712" t="str">
        <f>VLOOKUP(D712,Table3[#All],2,FALSE)</f>
        <v>Renew Europe</v>
      </c>
    </row>
    <row r="713" spans="1:9" x14ac:dyDescent="0.2">
      <c r="A713">
        <v>132366</v>
      </c>
      <c r="B713" t="s">
        <v>780</v>
      </c>
      <c r="C713" t="s">
        <v>96</v>
      </c>
      <c r="D713" t="s">
        <v>80</v>
      </c>
      <c r="E713" t="s">
        <v>18</v>
      </c>
      <c r="F713" s="1" t="d">
        <v>2023-04-12</v>
      </c>
      <c r="G713" s="1" t="d">
        <v>2024-07-15</v>
      </c>
      <c r="I713" t="str">
        <f>VLOOKUP(D713,Table3[#All],2,FALSE)</f>
        <v>ECR</v>
      </c>
    </row>
    <row r="714" spans="1:9" x14ac:dyDescent="0.2">
      <c r="A714">
        <v>197629</v>
      </c>
      <c r="B714" t="s">
        <v>781</v>
      </c>
      <c r="C714" t="s">
        <v>58</v>
      </c>
      <c r="D714" t="s">
        <v>146</v>
      </c>
      <c r="E714" t="s">
        <v>11</v>
      </c>
      <c r="F714" s="1" t="d">
        <v>2022-02-02</v>
      </c>
      <c r="G714" s="1" t="d">
        <v>2024-07-15</v>
      </c>
      <c r="I714" t="str">
        <f>VLOOKUP(D714,Table3[#All],2,FALSE)</f>
        <v>EPP</v>
      </c>
    </row>
    <row r="715" spans="1:9" x14ac:dyDescent="0.2">
      <c r="A715">
        <v>96739</v>
      </c>
      <c r="B715" t="s">
        <v>782</v>
      </c>
      <c r="C715" t="s">
        <v>13</v>
      </c>
      <c r="D715" t="s">
        <v>158</v>
      </c>
      <c r="E715" t="s">
        <v>11</v>
      </c>
      <c r="F715" s="1" t="d">
        <v>2019-07-02</v>
      </c>
      <c r="G715" s="1" t="d">
        <v>2024-07-15</v>
      </c>
      <c r="I715" t="str">
        <f>VLOOKUP(D715,Table3[#All],2,FALSE)</f>
        <v>Greens/EFA</v>
      </c>
    </row>
    <row r="716" spans="1:9" x14ac:dyDescent="0.2">
      <c r="A716">
        <v>197443</v>
      </c>
      <c r="B716" t="s">
        <v>783</v>
      </c>
      <c r="C716" t="s">
        <v>13</v>
      </c>
      <c r="D716" t="s">
        <v>46</v>
      </c>
      <c r="E716" t="s">
        <v>11</v>
      </c>
      <c r="F716" s="1" t="d">
        <v>2024-07-16</v>
      </c>
      <c r="I716" t="str">
        <f>VLOOKUP(D716,Table3[#All],2,FALSE)</f>
        <v>Renew Europe</v>
      </c>
    </row>
    <row r="717" spans="1:9" x14ac:dyDescent="0.2">
      <c r="A717">
        <v>124836</v>
      </c>
      <c r="B717" t="s">
        <v>784</v>
      </c>
      <c r="C717" t="s">
        <v>13</v>
      </c>
      <c r="D717" t="s">
        <v>39</v>
      </c>
      <c r="E717" t="s">
        <v>11</v>
      </c>
      <c r="F717" s="1" t="d">
        <v>2024-07-16</v>
      </c>
      <c r="I717" t="str">
        <f>VLOOKUP(D717,Table3[#All],2,FALSE)</f>
        <v>S&amp;D</v>
      </c>
    </row>
    <row r="718" spans="1:9" x14ac:dyDescent="0.2">
      <c r="A718">
        <v>218349</v>
      </c>
      <c r="B718" t="s">
        <v>785</v>
      </c>
      <c r="C718" t="s">
        <v>9</v>
      </c>
      <c r="D718" t="s">
        <v>80</v>
      </c>
      <c r="E718" t="s">
        <v>11</v>
      </c>
      <c r="F718" s="1" t="d">
        <v>2021-04-19</v>
      </c>
      <c r="G718" s="1" t="d">
        <v>2024-07-15</v>
      </c>
      <c r="I718" t="str">
        <f>VLOOKUP(D718,Table3[#All],2,FALSE)</f>
        <v>ECR</v>
      </c>
    </row>
    <row r="719" spans="1:9" x14ac:dyDescent="0.2">
      <c r="A719">
        <v>96991</v>
      </c>
      <c r="B719" t="s">
        <v>786</v>
      </c>
      <c r="C719" t="s">
        <v>22</v>
      </c>
      <c r="D719" t="s">
        <v>180</v>
      </c>
      <c r="E719" t="s">
        <v>11</v>
      </c>
      <c r="F719" s="1" t="d">
        <v>2019-07-02</v>
      </c>
      <c r="G719" s="1" t="d">
        <v>2024-07-15</v>
      </c>
      <c r="I719" t="str">
        <f>VLOOKUP(D719,Table3[#All],2,FALSE)</f>
        <v>S&amp;D</v>
      </c>
    </row>
    <row r="720" spans="1:9" x14ac:dyDescent="0.2">
      <c r="A720">
        <v>197618</v>
      </c>
      <c r="B720" t="s">
        <v>787</v>
      </c>
      <c r="C720" t="s">
        <v>25</v>
      </c>
      <c r="D720" t="s">
        <v>46</v>
      </c>
      <c r="E720" t="s">
        <v>11</v>
      </c>
      <c r="F720" s="1" t="d">
        <v>2026-02-24</v>
      </c>
      <c r="I720" t="str">
        <f>VLOOKUP(D720,Table3[#All],2,FALSE)</f>
        <v>Renew Europe</v>
      </c>
    </row>
    <row r="721" spans="1:9" x14ac:dyDescent="0.2">
      <c r="A721">
        <v>257007</v>
      </c>
      <c r="B721" t="s">
        <v>788</v>
      </c>
      <c r="C721" t="s">
        <v>191</v>
      </c>
      <c r="D721" t="s">
        <v>49</v>
      </c>
      <c r="E721" t="s">
        <v>11</v>
      </c>
      <c r="F721" s="1" t="d">
        <v>2024-07-16</v>
      </c>
      <c r="I721" t="str">
        <f>VLOOKUP(D721,Table3[#All],2,FALSE)</f>
        <v>Non-attached</v>
      </c>
    </row>
    <row r="722" spans="1:9" x14ac:dyDescent="0.2">
      <c r="A722">
        <v>202352</v>
      </c>
      <c r="B722" t="s">
        <v>789</v>
      </c>
      <c r="C722" t="s">
        <v>22</v>
      </c>
      <c r="D722" t="s">
        <v>146</v>
      </c>
      <c r="E722" t="s">
        <v>11</v>
      </c>
      <c r="F722" s="1" t="d">
        <v>2019-07-02</v>
      </c>
      <c r="G722" s="1" t="d">
        <v>2024-07-15</v>
      </c>
      <c r="I722" t="str">
        <f>VLOOKUP(D722,Table3[#All],2,FALSE)</f>
        <v>EPP</v>
      </c>
    </row>
    <row r="723" spans="1:9" x14ac:dyDescent="0.2">
      <c r="A723">
        <v>257170</v>
      </c>
      <c r="B723" t="s">
        <v>790</v>
      </c>
      <c r="C723" t="s">
        <v>25</v>
      </c>
      <c r="D723" t="s">
        <v>39</v>
      </c>
      <c r="E723" t="s">
        <v>11</v>
      </c>
      <c r="F723" s="1" t="d">
        <v>2024-07-16</v>
      </c>
      <c r="I723" t="str">
        <f>VLOOKUP(D723,Table3[#All],2,FALSE)</f>
        <v>S&amp;D</v>
      </c>
    </row>
    <row r="724" spans="1:9" x14ac:dyDescent="0.2">
      <c r="A724">
        <v>256974</v>
      </c>
      <c r="B724" t="s">
        <v>791</v>
      </c>
      <c r="C724" t="s">
        <v>13</v>
      </c>
      <c r="D724" t="s">
        <v>14</v>
      </c>
      <c r="E724" t="s">
        <v>11</v>
      </c>
      <c r="F724" s="1" t="d">
        <v>2024-07-16</v>
      </c>
      <c r="I724" t="str">
        <f>VLOOKUP(D724,Table3[#All],2,FALSE)</f>
        <v>EPP</v>
      </c>
    </row>
    <row r="725" spans="1:9" x14ac:dyDescent="0.2">
      <c r="A725">
        <v>23868</v>
      </c>
      <c r="B725" t="s">
        <v>792</v>
      </c>
      <c r="C725" t="s">
        <v>191</v>
      </c>
      <c r="D725" t="s">
        <v>49</v>
      </c>
      <c r="E725" t="s">
        <v>11</v>
      </c>
      <c r="F725" s="1" t="d">
        <v>2024-07-16</v>
      </c>
      <c r="I725" t="str">
        <f>VLOOKUP(D725,Table3[#All],2,FALSE)</f>
        <v>Non-attached</v>
      </c>
    </row>
    <row r="726" spans="1:9" x14ac:dyDescent="0.2">
      <c r="A726">
        <v>98582</v>
      </c>
      <c r="B726" t="s">
        <v>793</v>
      </c>
      <c r="C726" t="s">
        <v>35</v>
      </c>
      <c r="D726" t="s">
        <v>14</v>
      </c>
      <c r="E726" t="s">
        <v>11</v>
      </c>
      <c r="F726" s="1" t="d">
        <v>2024-07-16</v>
      </c>
      <c r="I726" t="str">
        <f>VLOOKUP(D726,Table3[#All],2,FALSE)</f>
        <v>EPP</v>
      </c>
    </row>
    <row r="727" spans="1:9" x14ac:dyDescent="0.2">
      <c r="A727">
        <v>124893</v>
      </c>
      <c r="B727" t="s">
        <v>794</v>
      </c>
      <c r="C727" t="s">
        <v>44</v>
      </c>
      <c r="D727" t="s">
        <v>14</v>
      </c>
      <c r="E727" t="s">
        <v>11</v>
      </c>
      <c r="F727" s="1" t="d">
        <v>2024-07-16</v>
      </c>
      <c r="I727" t="str">
        <f>VLOOKUP(D727,Table3[#All],2,FALSE)</f>
        <v>EPP</v>
      </c>
    </row>
    <row r="728" spans="1:9" x14ac:dyDescent="0.2">
      <c r="A728">
        <v>124835</v>
      </c>
      <c r="B728" t="s">
        <v>795</v>
      </c>
      <c r="C728" t="s">
        <v>25</v>
      </c>
      <c r="D728" t="s">
        <v>158</v>
      </c>
      <c r="E728" t="s">
        <v>11</v>
      </c>
      <c r="F728" s="1" t="d">
        <v>2020-12-09</v>
      </c>
      <c r="G728" s="1" t="d">
        <v>2024-07-15</v>
      </c>
      <c r="I728" t="str">
        <f>VLOOKUP(D728,Table3[#All],2,FALSE)</f>
        <v>Greens/EFA</v>
      </c>
    </row>
    <row r="729" spans="1:9" x14ac:dyDescent="0.2">
      <c r="A729">
        <v>197795</v>
      </c>
      <c r="B729" t="s">
        <v>796</v>
      </c>
      <c r="C729" t="s">
        <v>25</v>
      </c>
      <c r="D729" t="s">
        <v>33</v>
      </c>
      <c r="E729" t="s">
        <v>11</v>
      </c>
      <c r="F729" s="1" t="d">
        <v>2024-07-16</v>
      </c>
      <c r="I729" t="str">
        <f>VLOOKUP(D729,Table3[#All],2,FALSE)</f>
        <v>The Left</v>
      </c>
    </row>
    <row r="730" spans="1:9" x14ac:dyDescent="0.2">
      <c r="A730">
        <v>126644</v>
      </c>
      <c r="B730" t="s">
        <v>797</v>
      </c>
      <c r="C730" t="s">
        <v>22</v>
      </c>
      <c r="D730" t="s">
        <v>207</v>
      </c>
      <c r="E730" t="s">
        <v>51</v>
      </c>
      <c r="F730" s="1" t="d">
        <v>2022-09-13</v>
      </c>
      <c r="G730" s="1" t="d">
        <v>2024-07-15</v>
      </c>
      <c r="I730" t="str">
        <f>VLOOKUP(D730,Table3[#All],2,FALSE)</f>
        <v>Renew Europe</v>
      </c>
    </row>
    <row r="731" spans="1:9" x14ac:dyDescent="0.2">
      <c r="A731">
        <v>124844</v>
      </c>
      <c r="B731" t="s">
        <v>798</v>
      </c>
      <c r="C731" t="s">
        <v>25</v>
      </c>
      <c r="D731" t="s">
        <v>158</v>
      </c>
      <c r="E731" t="s">
        <v>11</v>
      </c>
      <c r="F731" s="1" t="d">
        <v>2020-12-09</v>
      </c>
      <c r="G731" s="1" t="d">
        <v>2024-07-15</v>
      </c>
      <c r="I731" t="str">
        <f>VLOOKUP(D731,Table3[#All],2,FALSE)</f>
        <v>Greens/EFA</v>
      </c>
    </row>
    <row r="732" spans="1:9" x14ac:dyDescent="0.2">
      <c r="A732">
        <v>249603</v>
      </c>
      <c r="B732" t="s">
        <v>799</v>
      </c>
      <c r="C732" t="s">
        <v>314</v>
      </c>
      <c r="D732" t="s">
        <v>14</v>
      </c>
      <c r="E732" t="s">
        <v>11</v>
      </c>
      <c r="F732" s="1" t="d">
        <v>2024-12-03</v>
      </c>
      <c r="I732" t="str">
        <f>VLOOKUP(D732,Table3[#All],2,FALSE)</f>
        <v>EPP</v>
      </c>
    </row>
    <row r="733" spans="1:9" x14ac:dyDescent="0.2">
      <c r="A733">
        <v>197514</v>
      </c>
      <c r="B733" t="s">
        <v>800</v>
      </c>
      <c r="C733" t="s">
        <v>44</v>
      </c>
      <c r="D733" t="s">
        <v>14</v>
      </c>
      <c r="E733" t="s">
        <v>51</v>
      </c>
      <c r="F733" s="1" t="d">
        <v>2024-07-16</v>
      </c>
      <c r="I733" t="str">
        <f>VLOOKUP(D733,Table3[#All],2,FALSE)</f>
        <v>EPP</v>
      </c>
    </row>
    <row r="734" spans="1:9" x14ac:dyDescent="0.2">
      <c r="A734">
        <v>96709</v>
      </c>
      <c r="B734" t="s">
        <v>801</v>
      </c>
      <c r="C734" t="s">
        <v>131</v>
      </c>
      <c r="D734" t="s">
        <v>46</v>
      </c>
      <c r="E734" t="s">
        <v>18</v>
      </c>
      <c r="F734" s="1" t="d">
        <v>2024-07-16</v>
      </c>
      <c r="I734" t="str">
        <f>VLOOKUP(D734,Table3[#All],2,FALSE)</f>
        <v>Renew Europe</v>
      </c>
    </row>
    <row r="735" spans="1:9" x14ac:dyDescent="0.2">
      <c r="A735">
        <v>257105</v>
      </c>
      <c r="B735" t="s">
        <v>802</v>
      </c>
      <c r="C735" t="s">
        <v>35</v>
      </c>
      <c r="D735" t="s">
        <v>39</v>
      </c>
      <c r="E735" t="s">
        <v>11</v>
      </c>
      <c r="F735" s="1" t="d">
        <v>2024-07-16</v>
      </c>
      <c r="G735" s="1" t="d">
        <v>2024-11-30</v>
      </c>
      <c r="I735" t="str">
        <f>VLOOKUP(D735,Table3[#All],2,FALSE)</f>
        <v>S&amp;D</v>
      </c>
    </row>
    <row r="736" spans="1:9" x14ac:dyDescent="0.2">
      <c r="A736">
        <v>197515</v>
      </c>
      <c r="B736" t="s">
        <v>803</v>
      </c>
      <c r="C736" t="s">
        <v>131</v>
      </c>
      <c r="D736" t="s">
        <v>29</v>
      </c>
      <c r="E736" t="s">
        <v>11</v>
      </c>
      <c r="F736" s="1" t="d">
        <v>2019-07-02</v>
      </c>
      <c r="G736" s="1" t="d">
        <v>2024-07-15</v>
      </c>
      <c r="I736" t="str">
        <f>VLOOKUP(D736,Table3[#All],2,FALSE)</f>
        <v>EPP</v>
      </c>
    </row>
    <row r="737" spans="1:9" x14ac:dyDescent="0.2">
      <c r="A737">
        <v>124808</v>
      </c>
      <c r="B737" t="s">
        <v>804</v>
      </c>
      <c r="C737" t="s">
        <v>13</v>
      </c>
      <c r="D737" t="s">
        <v>14</v>
      </c>
      <c r="E737" t="s">
        <v>11</v>
      </c>
      <c r="F737" s="1" t="d">
        <v>2024-07-16</v>
      </c>
      <c r="I737" t="str">
        <f>VLOOKUP(D737,Table3[#All],2,FALSE)</f>
        <v>EPP</v>
      </c>
    </row>
    <row r="738" spans="1:9" x14ac:dyDescent="0.2">
      <c r="A738">
        <v>257030</v>
      </c>
      <c r="B738" t="s">
        <v>805</v>
      </c>
      <c r="C738" t="s">
        <v>22</v>
      </c>
      <c r="D738" t="s">
        <v>14</v>
      </c>
      <c r="E738" t="s">
        <v>11</v>
      </c>
      <c r="F738" s="1" t="d">
        <v>2024-07-16</v>
      </c>
      <c r="I738" t="str">
        <f>VLOOKUP(D738,Table3[#All],2,FALSE)</f>
        <v>EPP</v>
      </c>
    </row>
    <row r="739" spans="1:9" x14ac:dyDescent="0.2">
      <c r="A739">
        <v>257127</v>
      </c>
      <c r="B739" t="s">
        <v>806</v>
      </c>
      <c r="C739" t="s">
        <v>25</v>
      </c>
      <c r="D739" t="s">
        <v>33</v>
      </c>
      <c r="E739" t="s">
        <v>18</v>
      </c>
      <c r="F739" s="1" t="d">
        <v>2024-07-18</v>
      </c>
      <c r="I739" t="str">
        <f>VLOOKUP(D739,Table3[#All],2,FALSE)</f>
        <v>The Left</v>
      </c>
    </row>
    <row r="740" spans="1:9" x14ac:dyDescent="0.2">
      <c r="A740">
        <v>256942</v>
      </c>
      <c r="B740" t="s">
        <v>807</v>
      </c>
      <c r="C740" t="s">
        <v>13</v>
      </c>
      <c r="D740" t="s">
        <v>37</v>
      </c>
      <c r="E740" t="s">
        <v>18</v>
      </c>
      <c r="F740" s="1" t="d">
        <v>2024-07-16</v>
      </c>
      <c r="I740" t="str">
        <f>VLOOKUP(D740,Table3[#All],2,FALSE)</f>
        <v>ESN</v>
      </c>
    </row>
    <row r="741" spans="1:9" x14ac:dyDescent="0.2">
      <c r="A741">
        <v>192254</v>
      </c>
      <c r="B741" t="s">
        <v>808</v>
      </c>
      <c r="C741" t="s">
        <v>9</v>
      </c>
      <c r="D741" t="s">
        <v>10</v>
      </c>
      <c r="E741" t="s">
        <v>18</v>
      </c>
      <c r="F741" s="1" t="d">
        <v>2026-05-19</v>
      </c>
      <c r="I741" t="str">
        <f>VLOOKUP(D741,Table3[#All],2,FALSE)</f>
        <v>PfE</v>
      </c>
    </row>
    <row r="742" spans="1:9" x14ac:dyDescent="0.2">
      <c r="A742">
        <v>28347</v>
      </c>
      <c r="B742" t="s">
        <v>809</v>
      </c>
      <c r="C742" t="s">
        <v>22</v>
      </c>
      <c r="D742" t="s">
        <v>39</v>
      </c>
      <c r="E742" t="s">
        <v>11</v>
      </c>
      <c r="F742" s="1" t="d">
        <v>2024-07-16</v>
      </c>
      <c r="I742" t="str">
        <f>VLOOKUP(D742,Table3[#All],2,FALSE)</f>
        <v>S&amp;D</v>
      </c>
    </row>
    <row r="743" spans="1:9" x14ac:dyDescent="0.2">
      <c r="A743">
        <v>197591</v>
      </c>
      <c r="B743" t="s">
        <v>810</v>
      </c>
      <c r="C743" t="s">
        <v>25</v>
      </c>
      <c r="D743" t="s">
        <v>39</v>
      </c>
      <c r="E743" t="s">
        <v>11</v>
      </c>
      <c r="F743" s="1" t="d">
        <v>2024-07-16</v>
      </c>
      <c r="I743" t="str">
        <f>VLOOKUP(D743,Table3[#All],2,FALSE)</f>
        <v>S&amp;D</v>
      </c>
    </row>
    <row r="744" spans="1:9" x14ac:dyDescent="0.2">
      <c r="A744">
        <v>257025</v>
      </c>
      <c r="B744" t="s">
        <v>811</v>
      </c>
      <c r="C744" t="s">
        <v>131</v>
      </c>
      <c r="D744" t="s">
        <v>17</v>
      </c>
      <c r="E744" t="s">
        <v>18</v>
      </c>
      <c r="F744" s="1" t="d">
        <v>2024-07-16</v>
      </c>
      <c r="I744" t="str">
        <f>VLOOKUP(D744,Table3[#All],2,FALSE)</f>
        <v>ECR</v>
      </c>
    </row>
    <row r="745" spans="1:9" x14ac:dyDescent="0.2">
      <c r="A745">
        <v>257148</v>
      </c>
      <c r="B745" t="s">
        <v>812</v>
      </c>
      <c r="C745" t="s">
        <v>25</v>
      </c>
      <c r="D745" t="s">
        <v>39</v>
      </c>
      <c r="E745" t="s">
        <v>11</v>
      </c>
      <c r="F745" s="1" t="d">
        <v>2024-07-16</v>
      </c>
      <c r="I745" t="str">
        <f>VLOOKUP(D745,Table3[#All],2,FALSE)</f>
        <v>S&amp;D</v>
      </c>
    </row>
    <row r="746" spans="1:9" x14ac:dyDescent="0.2">
      <c r="A746">
        <v>96752</v>
      </c>
      <c r="B746" t="s">
        <v>813</v>
      </c>
      <c r="C746" t="s">
        <v>13</v>
      </c>
      <c r="D746" t="s">
        <v>20</v>
      </c>
      <c r="E746" t="s">
        <v>11</v>
      </c>
      <c r="F746" s="1" t="d">
        <v>2024-07-16</v>
      </c>
      <c r="I746" t="str">
        <f>VLOOKUP(D746,Table3[#All],2,FALSE)</f>
        <v>Greens/EFA</v>
      </c>
    </row>
    <row r="747" spans="1:9" x14ac:dyDescent="0.2">
      <c r="A747">
        <v>197506</v>
      </c>
      <c r="B747" t="s">
        <v>814</v>
      </c>
      <c r="C747" t="s">
        <v>114</v>
      </c>
      <c r="D747" t="s">
        <v>158</v>
      </c>
      <c r="E747" t="s">
        <v>11</v>
      </c>
      <c r="F747" s="1" t="d">
        <v>2019-07-02</v>
      </c>
      <c r="G747" s="1" t="d">
        <v>2024-07-15</v>
      </c>
      <c r="I747" t="str">
        <f>VLOOKUP(D747,Table3[#All],2,FALSE)</f>
        <v>Greens/EFA</v>
      </c>
    </row>
    <row r="748" spans="1:9" x14ac:dyDescent="0.2">
      <c r="A748">
        <v>256904</v>
      </c>
      <c r="B748" t="s">
        <v>815</v>
      </c>
      <c r="C748" t="s">
        <v>58</v>
      </c>
      <c r="D748" t="s">
        <v>39</v>
      </c>
      <c r="E748" t="s">
        <v>11</v>
      </c>
      <c r="F748" s="1" t="d">
        <v>2024-07-16</v>
      </c>
      <c r="I748" t="str">
        <f>VLOOKUP(D748,Table3[#All],2,FALSE)</f>
        <v>S&amp;D</v>
      </c>
    </row>
    <row r="749" spans="1:9" x14ac:dyDescent="0.2">
      <c r="A749">
        <v>197769</v>
      </c>
      <c r="B749" t="s">
        <v>816</v>
      </c>
      <c r="C749" t="s">
        <v>191</v>
      </c>
      <c r="D749" t="s">
        <v>46</v>
      </c>
      <c r="E749" t="s">
        <v>11</v>
      </c>
      <c r="F749" s="1" t="d">
        <v>2024-07-16</v>
      </c>
      <c r="I749" t="str">
        <f>VLOOKUP(D749,Table3[#All],2,FALSE)</f>
        <v>Renew Europe</v>
      </c>
    </row>
    <row r="750" spans="1:9" x14ac:dyDescent="0.2">
      <c r="A750">
        <v>122978</v>
      </c>
      <c r="B750" t="s">
        <v>817</v>
      </c>
      <c r="C750" t="s">
        <v>22</v>
      </c>
      <c r="D750" t="s">
        <v>39</v>
      </c>
      <c r="E750" t="s">
        <v>11</v>
      </c>
      <c r="F750" s="1" t="d">
        <v>2024-07-16</v>
      </c>
      <c r="I750" t="str">
        <f>VLOOKUP(D750,Table3[#All],2,FALSE)</f>
        <v>S&amp;D</v>
      </c>
    </row>
    <row r="751" spans="1:9" x14ac:dyDescent="0.2">
      <c r="A751">
        <v>125064</v>
      </c>
      <c r="B751" t="s">
        <v>818</v>
      </c>
      <c r="C751" t="s">
        <v>48</v>
      </c>
      <c r="D751" t="s">
        <v>29</v>
      </c>
      <c r="E751" t="s">
        <v>11</v>
      </c>
      <c r="F751" s="1" t="d">
        <v>2019-07-02</v>
      </c>
      <c r="G751" s="1" t="d">
        <v>2024-07-15</v>
      </c>
      <c r="I751" t="str">
        <f>VLOOKUP(D751,Table3[#All],2,FALSE)</f>
        <v>EPP</v>
      </c>
    </row>
    <row r="752" spans="1:9" x14ac:dyDescent="0.2">
      <c r="A752">
        <v>239973</v>
      </c>
      <c r="B752" t="s">
        <v>819</v>
      </c>
      <c r="C752" t="s">
        <v>131</v>
      </c>
      <c r="D752" t="s">
        <v>207</v>
      </c>
      <c r="E752" t="s">
        <v>11</v>
      </c>
      <c r="F752" s="1" t="d">
        <v>2022-11-22</v>
      </c>
      <c r="G752" s="1" t="d">
        <v>2024-07-15</v>
      </c>
      <c r="I752" t="str">
        <f>VLOOKUP(D752,Table3[#All],2,FALSE)</f>
        <v>Renew Europe</v>
      </c>
    </row>
    <row r="753" spans="1:9" x14ac:dyDescent="0.2">
      <c r="A753">
        <v>197451</v>
      </c>
      <c r="B753" t="s">
        <v>820</v>
      </c>
      <c r="C753" t="s">
        <v>13</v>
      </c>
      <c r="D753" t="s">
        <v>158</v>
      </c>
      <c r="E753" t="s">
        <v>11</v>
      </c>
      <c r="F753" s="1" t="d">
        <v>2019-07-02</v>
      </c>
      <c r="G753" s="1" t="d">
        <v>2024-07-15</v>
      </c>
      <c r="I753" t="str">
        <f>VLOOKUP(D753,Table3[#All],2,FALSE)</f>
        <v>Greens/EFA</v>
      </c>
    </row>
    <row r="754" spans="1:9" x14ac:dyDescent="0.2">
      <c r="A754">
        <v>256881</v>
      </c>
      <c r="B754" t="s">
        <v>821</v>
      </c>
      <c r="C754" t="s">
        <v>114</v>
      </c>
      <c r="D754" t="s">
        <v>10</v>
      </c>
      <c r="E754" t="s">
        <v>11</v>
      </c>
      <c r="F754" s="1" t="d">
        <v>2024-07-16</v>
      </c>
      <c r="I754" t="str">
        <f>VLOOKUP(D754,Table3[#All],2,FALSE)</f>
        <v>PfE</v>
      </c>
    </row>
    <row r="755" spans="1:9" x14ac:dyDescent="0.2">
      <c r="A755">
        <v>124712</v>
      </c>
      <c r="B755" t="s">
        <v>822</v>
      </c>
      <c r="C755" t="s">
        <v>108</v>
      </c>
      <c r="D755" t="s">
        <v>146</v>
      </c>
      <c r="E755" t="s">
        <v>11</v>
      </c>
      <c r="F755" s="1" t="d">
        <v>2021-03-05</v>
      </c>
      <c r="G755" s="1" t="d">
        <v>2024-07-15</v>
      </c>
      <c r="I755" t="str">
        <f>VLOOKUP(D755,Table3[#All],2,FALSE)</f>
        <v>EPP</v>
      </c>
    </row>
    <row r="756" spans="1:9" x14ac:dyDescent="0.2">
      <c r="A756">
        <v>220840</v>
      </c>
      <c r="B756" t="s">
        <v>823</v>
      </c>
      <c r="C756" t="s">
        <v>41</v>
      </c>
      <c r="D756" t="s">
        <v>10</v>
      </c>
      <c r="E756" t="s">
        <v>11</v>
      </c>
      <c r="F756" s="1" t="d">
        <v>2024-07-16</v>
      </c>
      <c r="I756" t="str">
        <f>VLOOKUP(D756,Table3[#All],2,FALSE)</f>
        <v>PfE</v>
      </c>
    </row>
    <row r="757" spans="1:9" x14ac:dyDescent="0.2">
      <c r="A757">
        <v>197463</v>
      </c>
      <c r="B757" t="s">
        <v>824</v>
      </c>
      <c r="C757" t="s">
        <v>114</v>
      </c>
      <c r="D757" t="s">
        <v>46</v>
      </c>
      <c r="E757" t="s">
        <v>11</v>
      </c>
      <c r="F757" s="1" t="d">
        <v>2024-07-16</v>
      </c>
      <c r="I757" t="str">
        <f>VLOOKUP(D757,Table3[#All],2,FALSE)</f>
        <v>Renew Europe</v>
      </c>
    </row>
    <row r="758" spans="1:9" x14ac:dyDescent="0.2">
      <c r="A758">
        <v>96648</v>
      </c>
      <c r="B758" t="s">
        <v>825</v>
      </c>
      <c r="C758" t="s">
        <v>114</v>
      </c>
      <c r="D758" t="s">
        <v>158</v>
      </c>
      <c r="E758" t="s">
        <v>541</v>
      </c>
      <c r="F758" s="1" t="d">
        <v>2022-10-13</v>
      </c>
      <c r="G758" s="1" t="d">
        <v>2024-07-15</v>
      </c>
      <c r="I758" t="str">
        <f>VLOOKUP(D758,Table3[#All],2,FALSE)</f>
        <v>Greens/EFA</v>
      </c>
    </row>
    <row r="759" spans="1:9" x14ac:dyDescent="0.2">
      <c r="A759">
        <v>124715</v>
      </c>
      <c r="B759" t="s">
        <v>826</v>
      </c>
      <c r="C759" t="s">
        <v>108</v>
      </c>
      <c r="D759" t="s">
        <v>10</v>
      </c>
      <c r="E759" t="s">
        <v>11</v>
      </c>
      <c r="F759" s="1" t="d">
        <v>2024-07-16</v>
      </c>
      <c r="I759" t="str">
        <f>VLOOKUP(D759,Table3[#All],2,FALSE)</f>
        <v>PfE</v>
      </c>
    </row>
    <row r="760" spans="1:9" x14ac:dyDescent="0.2">
      <c r="A760">
        <v>1927</v>
      </c>
      <c r="B760" t="s">
        <v>827</v>
      </c>
      <c r="C760" t="s">
        <v>13</v>
      </c>
      <c r="D760" t="s">
        <v>14</v>
      </c>
      <c r="E760" t="s">
        <v>11</v>
      </c>
      <c r="F760" s="1" t="d">
        <v>2024-07-16</v>
      </c>
      <c r="I760" t="str">
        <f>VLOOKUP(D760,Table3[#All],2,FALSE)</f>
        <v>EPP</v>
      </c>
    </row>
    <row r="761" spans="1:9" x14ac:dyDescent="0.2">
      <c r="A761">
        <v>125004</v>
      </c>
      <c r="B761" t="s">
        <v>828</v>
      </c>
      <c r="C761" t="s">
        <v>148</v>
      </c>
      <c r="D761" t="s">
        <v>29</v>
      </c>
      <c r="E761" t="s">
        <v>11</v>
      </c>
      <c r="F761" s="1" t="d">
        <v>2019-07-02</v>
      </c>
      <c r="G761" s="1" t="d">
        <v>2024-07-15</v>
      </c>
      <c r="I761" t="str">
        <f>VLOOKUP(D761,Table3[#All],2,FALSE)</f>
        <v>EPP</v>
      </c>
    </row>
    <row r="762" spans="1:9" x14ac:dyDescent="0.2">
      <c r="A762">
        <v>28346</v>
      </c>
      <c r="B762" t="s">
        <v>829</v>
      </c>
      <c r="C762" t="s">
        <v>25</v>
      </c>
      <c r="D762" t="s">
        <v>180</v>
      </c>
      <c r="E762" t="s">
        <v>11</v>
      </c>
      <c r="F762" s="1" t="d">
        <v>2023-04-06</v>
      </c>
      <c r="G762" s="1" t="d">
        <v>2024-07-15</v>
      </c>
      <c r="I762" t="str">
        <f>VLOOKUP(D762,Table3[#All],2,FALSE)</f>
        <v>S&amp;D</v>
      </c>
    </row>
    <row r="763" spans="1:9" x14ac:dyDescent="0.2">
      <c r="A763">
        <v>96932</v>
      </c>
      <c r="B763" t="s">
        <v>830</v>
      </c>
      <c r="C763" t="s">
        <v>13</v>
      </c>
      <c r="D763" t="s">
        <v>39</v>
      </c>
      <c r="E763" t="s">
        <v>11</v>
      </c>
      <c r="F763" s="1" t="d">
        <v>2024-07-16</v>
      </c>
      <c r="I763" t="str">
        <f>VLOOKUP(D763,Table3[#All],2,FALSE)</f>
        <v>S&amp;D</v>
      </c>
    </row>
    <row r="764" spans="1:9" x14ac:dyDescent="0.2">
      <c r="A764">
        <v>256960</v>
      </c>
      <c r="B764" t="s">
        <v>831</v>
      </c>
      <c r="C764" t="s">
        <v>13</v>
      </c>
      <c r="D764" t="s">
        <v>49</v>
      </c>
      <c r="E764" t="s">
        <v>11</v>
      </c>
      <c r="F764" s="1" t="d">
        <v>2024-07-16</v>
      </c>
      <c r="I764" t="str">
        <f>VLOOKUP(D764,Table3[#All],2,FALSE)</f>
        <v>Non-attached</v>
      </c>
    </row>
    <row r="765" spans="1:9" x14ac:dyDescent="0.2">
      <c r="A765">
        <v>98341</v>
      </c>
      <c r="B765" t="s">
        <v>832</v>
      </c>
      <c r="C765" t="s">
        <v>16</v>
      </c>
      <c r="D765" t="s">
        <v>14</v>
      </c>
      <c r="E765" t="s">
        <v>11</v>
      </c>
      <c r="F765" s="1" t="d">
        <v>2024-07-16</v>
      </c>
      <c r="I765" t="str">
        <f>VLOOKUP(D765,Table3[#All],2,FALSE)</f>
        <v>EPP</v>
      </c>
    </row>
    <row r="766" spans="1:9" x14ac:dyDescent="0.2">
      <c r="A766">
        <v>197654</v>
      </c>
      <c r="B766" t="s">
        <v>833</v>
      </c>
      <c r="C766" t="s">
        <v>69</v>
      </c>
      <c r="D766" t="s">
        <v>158</v>
      </c>
      <c r="E766" t="s">
        <v>11</v>
      </c>
      <c r="F766" s="1" t="d">
        <v>2019-07-02</v>
      </c>
      <c r="G766" s="1" t="d">
        <v>2024-07-15</v>
      </c>
      <c r="I766" t="str">
        <f>VLOOKUP(D766,Table3[#All],2,FALSE)</f>
        <v>Greens/EFA</v>
      </c>
    </row>
    <row r="767" spans="1:9" x14ac:dyDescent="0.2">
      <c r="A767">
        <v>257259</v>
      </c>
      <c r="B767" t="s">
        <v>834</v>
      </c>
      <c r="C767" t="s">
        <v>16</v>
      </c>
      <c r="D767" t="s">
        <v>46</v>
      </c>
      <c r="E767" t="s">
        <v>18</v>
      </c>
      <c r="F767" s="1" t="d">
        <v>2024-07-16</v>
      </c>
      <c r="I767" t="str">
        <f>VLOOKUP(D767,Table3[#All],2,FALSE)</f>
        <v>Renew Europe</v>
      </c>
    </row>
    <row r="768" spans="1:9" x14ac:dyDescent="0.2">
      <c r="A768">
        <v>257108</v>
      </c>
      <c r="B768" t="s">
        <v>835</v>
      </c>
      <c r="C768" t="s">
        <v>25</v>
      </c>
      <c r="D768" t="s">
        <v>39</v>
      </c>
      <c r="E768" t="s">
        <v>11</v>
      </c>
      <c r="F768" s="1" t="d">
        <v>2024-07-16</v>
      </c>
      <c r="I768" t="str">
        <f>VLOOKUP(D768,Table3[#All],2,FALSE)</f>
        <v>S&amp;D</v>
      </c>
    </row>
    <row r="769" spans="1:9" x14ac:dyDescent="0.2">
      <c r="A769">
        <v>257044</v>
      </c>
      <c r="B769" t="s">
        <v>836</v>
      </c>
      <c r="C769" t="s">
        <v>131</v>
      </c>
      <c r="D769" t="s">
        <v>20</v>
      </c>
      <c r="E769" t="s">
        <v>11</v>
      </c>
      <c r="F769" s="1" t="d">
        <v>2024-07-16</v>
      </c>
      <c r="I769" t="str">
        <f>VLOOKUP(D769,Table3[#All],2,FALSE)</f>
        <v>Greens/EFA</v>
      </c>
    </row>
    <row r="770" spans="1:9" x14ac:dyDescent="0.2">
      <c r="A770">
        <v>257112</v>
      </c>
      <c r="B770" t="s">
        <v>837</v>
      </c>
      <c r="C770" t="s">
        <v>35</v>
      </c>
      <c r="D770" t="s">
        <v>46</v>
      </c>
      <c r="E770" t="s">
        <v>11</v>
      </c>
      <c r="F770" s="1" t="d">
        <v>2024-07-16</v>
      </c>
      <c r="I770" t="str">
        <f>VLOOKUP(D770,Table3[#All],2,FALSE)</f>
        <v>Renew Europe</v>
      </c>
    </row>
    <row r="771" spans="1:9" x14ac:dyDescent="0.2">
      <c r="A771">
        <v>197641</v>
      </c>
      <c r="B771" t="s">
        <v>838</v>
      </c>
      <c r="C771" t="s">
        <v>53</v>
      </c>
      <c r="D771" t="s">
        <v>180</v>
      </c>
      <c r="E771" t="s">
        <v>11</v>
      </c>
      <c r="F771" s="1" t="d">
        <v>2019-07-02</v>
      </c>
      <c r="G771" s="1" t="d">
        <v>2024-07-15</v>
      </c>
      <c r="I771" t="str">
        <f>VLOOKUP(D771,Table3[#All],2,FALSE)</f>
        <v>S&amp;D</v>
      </c>
    </row>
    <row r="772" spans="1:9" x14ac:dyDescent="0.2">
      <c r="A772">
        <v>237320</v>
      </c>
      <c r="B772" t="s">
        <v>839</v>
      </c>
      <c r="C772" t="s">
        <v>16</v>
      </c>
      <c r="D772" t="s">
        <v>207</v>
      </c>
      <c r="E772" t="s">
        <v>11</v>
      </c>
      <c r="F772" s="1" t="d">
        <v>2022-09-15</v>
      </c>
      <c r="G772" s="1" t="d">
        <v>2024-07-15</v>
      </c>
      <c r="I772" t="str">
        <f>VLOOKUP(D772,Table3[#All],2,FALSE)</f>
        <v>Renew Europe</v>
      </c>
    </row>
    <row r="773" spans="1:9" x14ac:dyDescent="0.2">
      <c r="A773">
        <v>96867</v>
      </c>
      <c r="B773" t="s">
        <v>840</v>
      </c>
      <c r="C773" t="s">
        <v>53</v>
      </c>
      <c r="D773" t="s">
        <v>29</v>
      </c>
      <c r="E773" t="s">
        <v>11</v>
      </c>
      <c r="F773" s="1" t="d">
        <v>2019-07-02</v>
      </c>
      <c r="G773" s="1" t="d">
        <v>2024-04-01</v>
      </c>
      <c r="I773" t="str">
        <f>VLOOKUP(D773,Table3[#All],2,FALSE)</f>
        <v>EPP</v>
      </c>
    </row>
    <row r="774" spans="1:9" x14ac:dyDescent="0.2">
      <c r="A774">
        <v>229352</v>
      </c>
      <c r="B774" t="s">
        <v>841</v>
      </c>
      <c r="C774" t="s">
        <v>13</v>
      </c>
      <c r="D774" t="s">
        <v>146</v>
      </c>
      <c r="E774" t="s">
        <v>11</v>
      </c>
      <c r="F774" s="1" t="d">
        <v>2024-03-06</v>
      </c>
      <c r="G774" s="1" t="d">
        <v>2024-03-10</v>
      </c>
      <c r="I774" t="str">
        <f>VLOOKUP(D774,Table3[#All],2,FALSE)</f>
        <v>EPP</v>
      </c>
    </row>
    <row r="775" spans="1:9" x14ac:dyDescent="0.2">
      <c r="A775">
        <v>96747</v>
      </c>
      <c r="B775" t="s">
        <v>842</v>
      </c>
      <c r="C775" t="s">
        <v>58</v>
      </c>
      <c r="D775" t="s">
        <v>29</v>
      </c>
      <c r="E775" t="s">
        <v>51</v>
      </c>
      <c r="F775" s="1" t="d">
        <v>2019-07-02</v>
      </c>
      <c r="G775" s="1" t="d">
        <v>2024-07-15</v>
      </c>
      <c r="I775" t="str">
        <f>VLOOKUP(D775,Table3[#All],2,FALSE)</f>
        <v>EPP</v>
      </c>
    </row>
    <row r="776" spans="1:9" x14ac:dyDescent="0.2">
      <c r="A776">
        <v>197539</v>
      </c>
      <c r="B776" t="s">
        <v>843</v>
      </c>
      <c r="C776" t="s">
        <v>41</v>
      </c>
      <c r="D776" t="s">
        <v>158</v>
      </c>
      <c r="E776" t="s">
        <v>11</v>
      </c>
      <c r="F776" s="1" t="d">
        <v>2019-07-02</v>
      </c>
      <c r="G776" s="1" t="d">
        <v>2024-07-15</v>
      </c>
      <c r="I776" t="str">
        <f>VLOOKUP(D776,Table3[#All],2,FALSE)</f>
        <v>Greens/EFA</v>
      </c>
    </row>
    <row r="777" spans="1:9" x14ac:dyDescent="0.2">
      <c r="A777">
        <v>256951</v>
      </c>
      <c r="B777" t="s">
        <v>844</v>
      </c>
      <c r="C777" t="s">
        <v>13</v>
      </c>
      <c r="D777" t="s">
        <v>37</v>
      </c>
      <c r="E777" t="s">
        <v>11</v>
      </c>
      <c r="F777" s="1" t="d">
        <v>2024-07-16</v>
      </c>
      <c r="I777" t="str">
        <f>VLOOKUP(D777,Table3[#All],2,FALSE)</f>
        <v>ESN</v>
      </c>
    </row>
    <row r="778" spans="1:9" x14ac:dyDescent="0.2">
      <c r="A778">
        <v>197766</v>
      </c>
      <c r="B778" t="s">
        <v>845</v>
      </c>
      <c r="C778" t="s">
        <v>191</v>
      </c>
      <c r="D778" t="s">
        <v>207</v>
      </c>
      <c r="E778" t="s">
        <v>11</v>
      </c>
      <c r="F778" s="1" t="d">
        <v>2021-05-20</v>
      </c>
      <c r="G778" s="1" t="d">
        <v>2024-07-15</v>
      </c>
      <c r="I778" t="str">
        <f>VLOOKUP(D778,Table3[#All],2,FALSE)</f>
        <v>Renew Europe</v>
      </c>
    </row>
    <row r="779" spans="1:9" x14ac:dyDescent="0.2">
      <c r="A779">
        <v>197720</v>
      </c>
      <c r="B779" t="s">
        <v>846</v>
      </c>
      <c r="C779" t="s">
        <v>69</v>
      </c>
      <c r="D779" t="s">
        <v>29</v>
      </c>
      <c r="E779" t="s">
        <v>51</v>
      </c>
      <c r="F779" s="1" t="d">
        <v>2021-03-24</v>
      </c>
      <c r="G779" s="1" t="d">
        <v>2024-07-15</v>
      </c>
      <c r="I779" t="str">
        <f>VLOOKUP(D779,Table3[#All],2,FALSE)</f>
        <v>EPP</v>
      </c>
    </row>
    <row r="780" spans="1:9" x14ac:dyDescent="0.2">
      <c r="A780">
        <v>197631</v>
      </c>
      <c r="B780" t="s">
        <v>847</v>
      </c>
      <c r="C780" t="s">
        <v>35</v>
      </c>
      <c r="D780" t="s">
        <v>207</v>
      </c>
      <c r="E780" t="s">
        <v>11</v>
      </c>
      <c r="F780" s="1" t="d">
        <v>2021-10-19</v>
      </c>
      <c r="G780" s="1" t="d">
        <v>2024-07-15</v>
      </c>
      <c r="I780" t="str">
        <f>VLOOKUP(D780,Table3[#All],2,FALSE)</f>
        <v>Renew Europe</v>
      </c>
    </row>
    <row r="781" spans="1:9" x14ac:dyDescent="0.2">
      <c r="A781">
        <v>124701</v>
      </c>
      <c r="B781" t="s">
        <v>848</v>
      </c>
      <c r="C781" t="s">
        <v>41</v>
      </c>
      <c r="D781" t="s">
        <v>14</v>
      </c>
      <c r="E781" t="s">
        <v>11</v>
      </c>
      <c r="F781" s="1" t="d">
        <v>2024-07-16</v>
      </c>
      <c r="I781" t="str">
        <f>VLOOKUP(D781,Table3[#All],2,FALSE)</f>
        <v>EPP</v>
      </c>
    </row>
    <row r="782" spans="1:9" x14ac:dyDescent="0.2">
      <c r="A782">
        <v>197743</v>
      </c>
      <c r="B782" t="s">
        <v>849</v>
      </c>
      <c r="C782" t="s">
        <v>48</v>
      </c>
      <c r="D782" t="s">
        <v>158</v>
      </c>
      <c r="E782" t="s">
        <v>11</v>
      </c>
      <c r="F782" s="1" t="d">
        <v>2024-01-31</v>
      </c>
      <c r="G782" s="1" t="d">
        <v>2024-07-15</v>
      </c>
      <c r="I782" t="str">
        <f>VLOOKUP(D782,Table3[#All],2,FALSE)</f>
        <v>Greens/EFA</v>
      </c>
    </row>
    <row r="783" spans="1:9" x14ac:dyDescent="0.2">
      <c r="A783">
        <v>256844</v>
      </c>
      <c r="B783" t="s">
        <v>850</v>
      </c>
      <c r="C783" t="s">
        <v>41</v>
      </c>
      <c r="D783" t="s">
        <v>10</v>
      </c>
      <c r="E783" t="s">
        <v>11</v>
      </c>
      <c r="F783" s="1" t="d">
        <v>2024-07-16</v>
      </c>
      <c r="I783" t="str">
        <f>VLOOKUP(D783,Table3[#All],2,FALSE)</f>
        <v>PfE</v>
      </c>
    </row>
    <row r="784" spans="1:9" x14ac:dyDescent="0.2">
      <c r="A784">
        <v>192635</v>
      </c>
      <c r="B784" t="s">
        <v>851</v>
      </c>
      <c r="C784" t="s">
        <v>25</v>
      </c>
      <c r="D784" t="s">
        <v>112</v>
      </c>
      <c r="E784" t="s">
        <v>11</v>
      </c>
      <c r="F784" s="1" t="d">
        <v>2019-07-02</v>
      </c>
      <c r="G784" s="1" t="d">
        <v>2024-07-15</v>
      </c>
      <c r="I784" t="str">
        <f>VLOOKUP(D784,Table3[#All],2,FALSE)</f>
        <v>ID</v>
      </c>
    </row>
    <row r="785" spans="1:9" x14ac:dyDescent="0.2">
      <c r="A785">
        <v>213330</v>
      </c>
      <c r="B785" t="s">
        <v>852</v>
      </c>
      <c r="C785" t="s">
        <v>108</v>
      </c>
      <c r="D785" t="s">
        <v>10</v>
      </c>
      <c r="E785" t="s">
        <v>11</v>
      </c>
      <c r="F785" s="1" t="d">
        <v>2024-07-16</v>
      </c>
      <c r="I785" t="str">
        <f>VLOOKUP(D785,Table3[#All],2,FALSE)</f>
        <v>PfE</v>
      </c>
    </row>
    <row r="786" spans="1:9" x14ac:dyDescent="0.2">
      <c r="A786">
        <v>256804</v>
      </c>
      <c r="B786" t="s">
        <v>853</v>
      </c>
      <c r="C786" t="s">
        <v>96</v>
      </c>
      <c r="D786" t="s">
        <v>14</v>
      </c>
      <c r="E786" t="s">
        <v>11</v>
      </c>
      <c r="F786" s="1" t="d">
        <v>2024-07-16</v>
      </c>
      <c r="I786" t="str">
        <f>VLOOKUP(D786,Table3[#All],2,FALSE)</f>
        <v>EPP</v>
      </c>
    </row>
    <row r="787" spans="1:9" x14ac:dyDescent="0.2">
      <c r="A787">
        <v>257238</v>
      </c>
      <c r="B787" t="s">
        <v>854</v>
      </c>
      <c r="C787" t="s">
        <v>69</v>
      </c>
      <c r="D787" t="s">
        <v>39</v>
      </c>
      <c r="E787" t="s">
        <v>11</v>
      </c>
      <c r="F787" s="1" t="d">
        <v>2024-07-16</v>
      </c>
      <c r="I787" t="str">
        <f>VLOOKUP(D787,Table3[#All],2,FALSE)</f>
        <v>S&amp;D</v>
      </c>
    </row>
    <row r="788" spans="1:9" x14ac:dyDescent="0.2">
      <c r="A788">
        <v>197721</v>
      </c>
      <c r="B788" t="s">
        <v>855</v>
      </c>
      <c r="C788" t="s">
        <v>22</v>
      </c>
      <c r="D788" t="s">
        <v>39</v>
      </c>
      <c r="E788" t="s">
        <v>11</v>
      </c>
      <c r="F788" s="1" t="d">
        <v>2024-07-16</v>
      </c>
      <c r="I788" t="str">
        <f>VLOOKUP(D788,Table3[#All],2,FALSE)</f>
        <v>S&amp;D</v>
      </c>
    </row>
    <row r="789" spans="1:9" x14ac:dyDescent="0.2">
      <c r="A789">
        <v>197648</v>
      </c>
      <c r="B789" t="s">
        <v>856</v>
      </c>
      <c r="C789" t="s">
        <v>27</v>
      </c>
      <c r="D789" t="s">
        <v>14</v>
      </c>
      <c r="E789" t="s">
        <v>11</v>
      </c>
      <c r="F789" s="1" t="d">
        <v>2024-07-16</v>
      </c>
      <c r="I789" t="str">
        <f>VLOOKUP(D789,Table3[#All],2,FALSE)</f>
        <v>EPP</v>
      </c>
    </row>
    <row r="790" spans="1:9" x14ac:dyDescent="0.2">
      <c r="A790">
        <v>28219</v>
      </c>
      <c r="B790" t="s">
        <v>857</v>
      </c>
      <c r="C790" t="s">
        <v>13</v>
      </c>
      <c r="D790" t="s">
        <v>14</v>
      </c>
      <c r="E790" t="s">
        <v>11</v>
      </c>
      <c r="F790" s="1" t="d">
        <v>2024-07-16</v>
      </c>
      <c r="G790" s="1" t="d">
        <v>2026-02-28</v>
      </c>
      <c r="I790" t="str">
        <f>VLOOKUP(D790,Table3[#All],2,FALSE)</f>
        <v>EPP</v>
      </c>
    </row>
    <row r="791" spans="1:9" x14ac:dyDescent="0.2">
      <c r="A791">
        <v>197458</v>
      </c>
      <c r="B791" t="s">
        <v>858</v>
      </c>
      <c r="C791" t="s">
        <v>114</v>
      </c>
      <c r="D791" t="s">
        <v>29</v>
      </c>
      <c r="E791" t="s">
        <v>11</v>
      </c>
      <c r="F791" s="1" t="d">
        <v>2019-07-02</v>
      </c>
      <c r="G791" s="1" t="d">
        <v>2024-07-15</v>
      </c>
      <c r="I791" t="str">
        <f>VLOOKUP(D791,Table3[#All],2,FALSE)</f>
        <v>EPP</v>
      </c>
    </row>
    <row r="792" spans="1:9" x14ac:dyDescent="0.2">
      <c r="A792">
        <v>197472</v>
      </c>
      <c r="B792" t="s">
        <v>859</v>
      </c>
      <c r="C792" t="s">
        <v>114</v>
      </c>
      <c r="D792" t="s">
        <v>112</v>
      </c>
      <c r="E792" t="s">
        <v>11</v>
      </c>
      <c r="F792" s="1" t="d">
        <v>2019-07-02</v>
      </c>
      <c r="G792" s="1" t="d">
        <v>2024-07-15</v>
      </c>
      <c r="I792" t="str">
        <f>VLOOKUP(D792,Table3[#All],2,FALSE)</f>
        <v>ID</v>
      </c>
    </row>
    <row r="793" spans="1:9" x14ac:dyDescent="0.2">
      <c r="A793">
        <v>250918</v>
      </c>
      <c r="B793" t="s">
        <v>860</v>
      </c>
      <c r="C793" t="s">
        <v>58</v>
      </c>
      <c r="D793" t="s">
        <v>158</v>
      </c>
      <c r="E793" t="s">
        <v>11</v>
      </c>
      <c r="F793" s="1" t="d">
        <v>2023-11-30</v>
      </c>
      <c r="G793" s="1" t="d">
        <v>2024-07-15</v>
      </c>
      <c r="I793" t="str">
        <f>VLOOKUP(D793,Table3[#All],2,FALSE)</f>
        <v>Greens/EFA</v>
      </c>
    </row>
    <row r="794" spans="1:9" x14ac:dyDescent="0.2">
      <c r="A794">
        <v>124813</v>
      </c>
      <c r="B794" t="s">
        <v>861</v>
      </c>
      <c r="C794" t="s">
        <v>25</v>
      </c>
      <c r="D794" t="s">
        <v>33</v>
      </c>
      <c r="E794" t="s">
        <v>11</v>
      </c>
      <c r="F794" s="1" t="d">
        <v>2024-07-16</v>
      </c>
      <c r="I794" t="str">
        <f>VLOOKUP(D794,Table3[#All],2,FALSE)</f>
        <v>The Left</v>
      </c>
    </row>
    <row r="795" spans="1:9" x14ac:dyDescent="0.2">
      <c r="A795">
        <v>35016</v>
      </c>
      <c r="B795" t="s">
        <v>862</v>
      </c>
      <c r="C795" t="s">
        <v>25</v>
      </c>
      <c r="D795" t="s">
        <v>112</v>
      </c>
      <c r="E795" t="s">
        <v>11</v>
      </c>
      <c r="F795" s="1" t="d">
        <v>2019-07-02</v>
      </c>
      <c r="G795" s="1" t="d">
        <v>2024-07-15</v>
      </c>
      <c r="I795" t="str">
        <f>VLOOKUP(D795,Table3[#All],2,FALSE)</f>
        <v>ID</v>
      </c>
    </row>
    <row r="796" spans="1:9" x14ac:dyDescent="0.2">
      <c r="A796">
        <v>249285</v>
      </c>
      <c r="B796" t="s">
        <v>863</v>
      </c>
      <c r="C796" t="s">
        <v>58</v>
      </c>
      <c r="D796" t="s">
        <v>158</v>
      </c>
      <c r="E796" t="s">
        <v>11</v>
      </c>
      <c r="F796" s="1" t="d">
        <v>2023-09-24</v>
      </c>
      <c r="G796" s="1" t="d">
        <v>2024-07-15</v>
      </c>
      <c r="I796" t="str">
        <f>VLOOKUP(D796,Table3[#All],2,FALSE)</f>
        <v>Greens/EFA</v>
      </c>
    </row>
    <row r="797" spans="1:9" x14ac:dyDescent="0.2">
      <c r="A797">
        <v>28390</v>
      </c>
      <c r="B797" t="s">
        <v>864</v>
      </c>
      <c r="C797" t="s">
        <v>22</v>
      </c>
      <c r="D797" t="s">
        <v>14</v>
      </c>
      <c r="E797" t="s">
        <v>11</v>
      </c>
      <c r="F797" s="1" t="d">
        <v>2024-07-16</v>
      </c>
      <c r="I797" t="str">
        <f>VLOOKUP(D797,Table3[#All],2,FALSE)</f>
        <v>EPP</v>
      </c>
    </row>
    <row r="798" spans="1:9" x14ac:dyDescent="0.2">
      <c r="A798">
        <v>257140</v>
      </c>
      <c r="B798" t="s">
        <v>865</v>
      </c>
      <c r="C798" t="s">
        <v>25</v>
      </c>
      <c r="D798" t="s">
        <v>33</v>
      </c>
      <c r="E798" t="s">
        <v>11</v>
      </c>
      <c r="F798" s="1" t="d">
        <v>2024-07-20</v>
      </c>
      <c r="I798" t="str">
        <f>VLOOKUP(D798,Table3[#All],2,FALSE)</f>
        <v>The Left</v>
      </c>
    </row>
    <row r="799" spans="1:9" x14ac:dyDescent="0.2">
      <c r="A799">
        <v>256814</v>
      </c>
      <c r="B799" t="s">
        <v>866</v>
      </c>
      <c r="C799" t="s">
        <v>148</v>
      </c>
      <c r="D799" t="s">
        <v>14</v>
      </c>
      <c r="E799" t="s">
        <v>11</v>
      </c>
      <c r="F799" s="1" t="d">
        <v>2024-07-16</v>
      </c>
      <c r="I799" t="str">
        <f>VLOOKUP(D799,Table3[#All],2,FALSE)</f>
        <v>EPP</v>
      </c>
    </row>
    <row r="800" spans="1:9" x14ac:dyDescent="0.2">
      <c r="A800">
        <v>257098</v>
      </c>
      <c r="B800" t="s">
        <v>867</v>
      </c>
      <c r="C800" t="s">
        <v>35</v>
      </c>
      <c r="D800" t="s">
        <v>39</v>
      </c>
      <c r="E800" t="s">
        <v>11</v>
      </c>
      <c r="F800" s="1" t="d">
        <v>2024-07-16</v>
      </c>
      <c r="I800" t="str">
        <f>VLOOKUP(D800,Table3[#All],2,FALSE)</f>
        <v>S&amp;D</v>
      </c>
    </row>
    <row r="801" spans="1:9" x14ac:dyDescent="0.2">
      <c r="A801">
        <v>256840</v>
      </c>
      <c r="B801" t="s">
        <v>868</v>
      </c>
      <c r="C801" t="s">
        <v>41</v>
      </c>
      <c r="D801" t="s">
        <v>14</v>
      </c>
      <c r="E801" t="s">
        <v>11</v>
      </c>
      <c r="F801" s="1" t="d">
        <v>2024-07-16</v>
      </c>
      <c r="I801" t="str">
        <f>VLOOKUP(D801,Table3[#All],2,FALSE)</f>
        <v>EPP</v>
      </c>
    </row>
    <row r="802" spans="1:9" x14ac:dyDescent="0.2">
      <c r="A802">
        <v>197505</v>
      </c>
      <c r="B802" t="s">
        <v>869</v>
      </c>
      <c r="C802" t="s">
        <v>58</v>
      </c>
      <c r="D802" t="s">
        <v>207</v>
      </c>
      <c r="E802" t="s">
        <v>11</v>
      </c>
      <c r="F802" s="1" t="d">
        <v>2019-07-02</v>
      </c>
      <c r="G802" s="1" t="d">
        <v>2024-07-15</v>
      </c>
      <c r="I802" t="str">
        <f>VLOOKUP(D802,Table3[#All],2,FALSE)</f>
        <v>Renew Europe</v>
      </c>
    </row>
    <row r="803" spans="1:9" x14ac:dyDescent="0.2">
      <c r="A803">
        <v>256868</v>
      </c>
      <c r="B803" t="s">
        <v>870</v>
      </c>
      <c r="C803" t="s">
        <v>108</v>
      </c>
      <c r="D803" t="s">
        <v>14</v>
      </c>
      <c r="E803" t="s">
        <v>11</v>
      </c>
      <c r="F803" s="1" t="d">
        <v>2024-07-16</v>
      </c>
      <c r="G803" s="1" t="d">
        <v>2026-05-08</v>
      </c>
      <c r="I803" t="str">
        <f>VLOOKUP(D803,Table3[#All],2,FALSE)</f>
        <v>EPP</v>
      </c>
    </row>
    <row r="804" spans="1:9" x14ac:dyDescent="0.2">
      <c r="A804">
        <v>197791</v>
      </c>
      <c r="B804" t="s">
        <v>871</v>
      </c>
      <c r="C804" t="s">
        <v>25</v>
      </c>
      <c r="D804" t="s">
        <v>146</v>
      </c>
      <c r="E804" t="s">
        <v>11</v>
      </c>
      <c r="F804" s="1" t="d">
        <v>2024-03-20</v>
      </c>
      <c r="G804" s="1" t="d">
        <v>2024-07-15</v>
      </c>
      <c r="I804" t="str">
        <f>VLOOKUP(D804,Table3[#All],2,FALSE)</f>
        <v>EPP</v>
      </c>
    </row>
    <row r="805" spans="1:9" x14ac:dyDescent="0.2">
      <c r="A805">
        <v>250235</v>
      </c>
      <c r="B805" t="s">
        <v>872</v>
      </c>
      <c r="C805" t="s">
        <v>44</v>
      </c>
      <c r="D805" t="s">
        <v>29</v>
      </c>
      <c r="E805" t="s">
        <v>11</v>
      </c>
      <c r="F805" s="1" t="d">
        <v>2023-11-16</v>
      </c>
      <c r="G805" s="1" t="d">
        <v>2024-07-15</v>
      </c>
      <c r="I805" t="str">
        <f>VLOOKUP(D805,Table3[#All],2,FALSE)</f>
        <v>EPP</v>
      </c>
    </row>
    <row r="806" spans="1:9" x14ac:dyDescent="0.2">
      <c r="A806">
        <v>205452</v>
      </c>
      <c r="B806" t="s">
        <v>873</v>
      </c>
      <c r="C806" t="s">
        <v>69</v>
      </c>
      <c r="D806" t="s">
        <v>23</v>
      </c>
      <c r="E806" t="s">
        <v>11</v>
      </c>
      <c r="F806" s="1" t="d">
        <v>2020-12-18</v>
      </c>
      <c r="G806" s="1" t="d">
        <v>2024-07-15</v>
      </c>
      <c r="I806" t="str">
        <f>VLOOKUP(D806,Table3[#All],2,FALSE)</f>
        <v>The Left</v>
      </c>
    </row>
    <row r="807" spans="1:9" x14ac:dyDescent="0.2">
      <c r="A807">
        <v>257033</v>
      </c>
      <c r="B807" t="s">
        <v>874</v>
      </c>
      <c r="C807" t="s">
        <v>131</v>
      </c>
      <c r="D807" t="s">
        <v>14</v>
      </c>
      <c r="E807" t="s">
        <v>11</v>
      </c>
      <c r="F807" s="1" t="d">
        <v>2024-07-16</v>
      </c>
      <c r="I807" t="str">
        <f>VLOOKUP(D807,Table3[#All],2,FALSE)</f>
        <v>EPP</v>
      </c>
    </row>
    <row r="808" spans="1:9" x14ac:dyDescent="0.2">
      <c r="A808">
        <v>125038</v>
      </c>
      <c r="B808" t="s">
        <v>875</v>
      </c>
      <c r="C808" t="s">
        <v>22</v>
      </c>
      <c r="D808" t="s">
        <v>207</v>
      </c>
      <c r="E808" t="s">
        <v>11</v>
      </c>
      <c r="F808" s="1" t="d">
        <v>2019-07-02</v>
      </c>
      <c r="G808" s="1" t="d">
        <v>2024-07-15</v>
      </c>
      <c r="I808" t="str">
        <f>VLOOKUP(D808,Table3[#All],2,FALSE)</f>
        <v>Renew Europe</v>
      </c>
    </row>
    <row r="809" spans="1:9" x14ac:dyDescent="0.2">
      <c r="A809">
        <v>125001</v>
      </c>
      <c r="B809" t="s">
        <v>876</v>
      </c>
      <c r="C809" t="s">
        <v>27</v>
      </c>
      <c r="D809" t="s">
        <v>10</v>
      </c>
      <c r="E809" t="s">
        <v>51</v>
      </c>
      <c r="F809" s="1" t="d">
        <v>2024-07-16</v>
      </c>
      <c r="I809" t="str">
        <f>VLOOKUP(D809,Table3[#All],2,FALSE)</f>
        <v>PfE</v>
      </c>
    </row>
    <row r="810" spans="1:9" x14ac:dyDescent="0.2">
      <c r="A810">
        <v>197421</v>
      </c>
      <c r="B810" t="s">
        <v>877</v>
      </c>
      <c r="C810" t="s">
        <v>314</v>
      </c>
      <c r="D810" t="s">
        <v>14</v>
      </c>
      <c r="E810" t="s">
        <v>11</v>
      </c>
      <c r="F810" s="1" t="d">
        <v>2024-07-16</v>
      </c>
      <c r="I810" t="str">
        <f>VLOOKUP(D810,Table3[#All],2,FALSE)</f>
        <v>EPP</v>
      </c>
    </row>
    <row r="811" spans="1:9" x14ac:dyDescent="0.2">
      <c r="A811">
        <v>256842</v>
      </c>
      <c r="B811" t="s">
        <v>878</v>
      </c>
      <c r="C811" t="s">
        <v>27</v>
      </c>
      <c r="D811" t="s">
        <v>10</v>
      </c>
      <c r="E811" t="s">
        <v>11</v>
      </c>
      <c r="F811" s="1" t="d">
        <v>2024-07-16</v>
      </c>
      <c r="I811" t="str">
        <f>VLOOKUP(D811,Table3[#All],2,FALSE)</f>
        <v>PfE</v>
      </c>
    </row>
    <row r="812" spans="1:9" x14ac:dyDescent="0.2">
      <c r="A812">
        <v>204418</v>
      </c>
      <c r="B812" t="s">
        <v>879</v>
      </c>
      <c r="C812" t="s">
        <v>58</v>
      </c>
      <c r="D812" t="s">
        <v>39</v>
      </c>
      <c r="E812" t="s">
        <v>11</v>
      </c>
      <c r="F812" s="1" t="d">
        <v>2024-07-16</v>
      </c>
      <c r="I812" t="str">
        <f>VLOOKUP(D812,Table3[#All],2,FALSE)</f>
        <v>S&amp;D</v>
      </c>
    </row>
    <row r="813" spans="1:9" x14ac:dyDescent="0.2">
      <c r="A813">
        <v>124988</v>
      </c>
      <c r="B813" t="s">
        <v>880</v>
      </c>
      <c r="C813" t="s">
        <v>69</v>
      </c>
      <c r="D813" t="s">
        <v>29</v>
      </c>
      <c r="E813" t="s">
        <v>11</v>
      </c>
      <c r="F813" s="1" t="d">
        <v>2020-02-01</v>
      </c>
      <c r="G813" s="1" t="d">
        <v>2024-07-15</v>
      </c>
      <c r="I813" t="str">
        <f>VLOOKUP(D813,Table3[#All],2,FALSE)</f>
        <v>EPP</v>
      </c>
    </row>
    <row r="814" spans="1:9" x14ac:dyDescent="0.2">
      <c r="A814">
        <v>197677</v>
      </c>
      <c r="B814" t="s">
        <v>881</v>
      </c>
      <c r="C814" t="s">
        <v>27</v>
      </c>
      <c r="D814" t="s">
        <v>39</v>
      </c>
      <c r="E814" t="s">
        <v>11</v>
      </c>
      <c r="F814" s="1" t="d">
        <v>2024-07-16</v>
      </c>
      <c r="I814" t="str">
        <f>VLOOKUP(D814,Table3[#All],2,FALSE)</f>
        <v>S&amp;D</v>
      </c>
    </row>
    <row r="815" spans="1:9" x14ac:dyDescent="0.2">
      <c r="A815">
        <v>197619</v>
      </c>
      <c r="B815" t="s">
        <v>882</v>
      </c>
      <c r="C815" t="s">
        <v>25</v>
      </c>
      <c r="D815" t="s">
        <v>146</v>
      </c>
      <c r="E815" t="s">
        <v>11</v>
      </c>
      <c r="F815" s="1" t="d">
        <v>2019-07-02</v>
      </c>
      <c r="G815" s="1" t="d">
        <v>2024-07-15</v>
      </c>
      <c r="I815" t="str">
        <f>VLOOKUP(D815,Table3[#All],2,FALSE)</f>
        <v>EPP</v>
      </c>
    </row>
    <row r="816" spans="1:9" x14ac:dyDescent="0.2">
      <c r="A816">
        <v>198373</v>
      </c>
      <c r="B816" t="s">
        <v>883</v>
      </c>
      <c r="C816" t="s">
        <v>191</v>
      </c>
      <c r="D816" t="s">
        <v>49</v>
      </c>
      <c r="E816" t="s">
        <v>11</v>
      </c>
      <c r="F816" s="1" t="d">
        <v>2024-07-16</v>
      </c>
      <c r="I816" t="str">
        <f>VLOOKUP(D816,Table3[#All],2,FALSE)</f>
        <v>Non-attached</v>
      </c>
    </row>
    <row r="817" spans="1:9" x14ac:dyDescent="0.2">
      <c r="A817">
        <v>197488</v>
      </c>
      <c r="B817" t="s">
        <v>884</v>
      </c>
      <c r="C817" t="s">
        <v>13</v>
      </c>
      <c r="D817" t="s">
        <v>146</v>
      </c>
      <c r="E817" t="s">
        <v>11</v>
      </c>
      <c r="F817" s="1" t="d">
        <v>2024-05-23</v>
      </c>
      <c r="G817" s="1" t="d">
        <v>2024-07-15</v>
      </c>
      <c r="I817" t="str">
        <f>VLOOKUP(D817,Table3[#All],2,FALSE)</f>
        <v>EPP</v>
      </c>
    </row>
    <row r="818" spans="1:9" x14ac:dyDescent="0.2">
      <c r="A818">
        <v>124706</v>
      </c>
      <c r="B818" t="s">
        <v>885</v>
      </c>
      <c r="C818" t="s">
        <v>41</v>
      </c>
      <c r="D818" t="s">
        <v>565</v>
      </c>
      <c r="E818" t="s">
        <v>11</v>
      </c>
      <c r="F818" s="1" t="d">
        <v>2017-02-01</v>
      </c>
      <c r="G818" s="1" t="d">
        <v>2019-07-01</v>
      </c>
      <c r="I818" t="str">
        <f>VLOOKUP(D818,Table3[#All],2,FALSE)</f>
        <v>Renew Europe</v>
      </c>
    </row>
    <row r="819" spans="1:9" x14ac:dyDescent="0.2">
      <c r="A819">
        <v>185974</v>
      </c>
      <c r="B819" t="s">
        <v>886</v>
      </c>
      <c r="C819" t="s">
        <v>22</v>
      </c>
      <c r="D819" t="s">
        <v>158</v>
      </c>
      <c r="E819" t="s">
        <v>51</v>
      </c>
      <c r="F819" s="1" t="d">
        <v>2022-01-11</v>
      </c>
      <c r="G819" s="1" t="d">
        <v>2024-07-15</v>
      </c>
      <c r="I819" t="str">
        <f>VLOOKUP(D819,Table3[#All],2,FALSE)</f>
        <v>Greens/EFA</v>
      </c>
    </row>
    <row r="820" spans="1:9" x14ac:dyDescent="0.2">
      <c r="A820">
        <v>262021</v>
      </c>
      <c r="B820" t="s">
        <v>887</v>
      </c>
      <c r="C820" t="s">
        <v>44</v>
      </c>
      <c r="D820" t="s">
        <v>14</v>
      </c>
      <c r="E820" t="s">
        <v>11</v>
      </c>
      <c r="F820" s="1" t="d">
        <v>2024-10-10</v>
      </c>
      <c r="I820" t="str">
        <f>VLOOKUP(D820,Table3[#All],2,FALSE)</f>
        <v>EPP</v>
      </c>
    </row>
    <row r="821" spans="1:9" x14ac:dyDescent="0.2">
      <c r="A821">
        <v>197452</v>
      </c>
      <c r="B821" t="s">
        <v>888</v>
      </c>
      <c r="C821" t="s">
        <v>148</v>
      </c>
      <c r="D821" t="s">
        <v>207</v>
      </c>
      <c r="E821" t="s">
        <v>11</v>
      </c>
      <c r="F821" s="1" t="d">
        <v>2019-07-02</v>
      </c>
      <c r="G821" s="1" t="d">
        <v>2024-07-15</v>
      </c>
      <c r="I821" t="str">
        <f>VLOOKUP(D821,Table3[#All],2,FALSE)</f>
        <v>Renew Europe</v>
      </c>
    </row>
    <row r="822" spans="1:9" x14ac:dyDescent="0.2">
      <c r="A822">
        <v>257150</v>
      </c>
      <c r="B822" t="s">
        <v>889</v>
      </c>
      <c r="C822" t="s">
        <v>25</v>
      </c>
      <c r="D822" t="s">
        <v>17</v>
      </c>
      <c r="E822" t="s">
        <v>11</v>
      </c>
      <c r="F822" s="1" t="d">
        <v>2024-07-16</v>
      </c>
      <c r="I822" t="str">
        <f>VLOOKUP(D822,Table3[#All],2,FALSE)</f>
        <v>ECR</v>
      </c>
    </row>
    <row r="823" spans="1:9" x14ac:dyDescent="0.2">
      <c r="A823">
        <v>197425</v>
      </c>
      <c r="B823" t="s">
        <v>890</v>
      </c>
      <c r="C823" t="s">
        <v>13</v>
      </c>
      <c r="D823" t="s">
        <v>14</v>
      </c>
      <c r="E823" t="s">
        <v>11</v>
      </c>
      <c r="F823" s="1" t="d">
        <v>2024-07-16</v>
      </c>
      <c r="I823" t="str">
        <f>VLOOKUP(D823,Table3[#All],2,FALSE)</f>
        <v>EPP</v>
      </c>
    </row>
    <row r="824" spans="1:9" x14ac:dyDescent="0.2">
      <c r="A824">
        <v>125045</v>
      </c>
      <c r="B824" t="s">
        <v>891</v>
      </c>
      <c r="C824" t="s">
        <v>22</v>
      </c>
      <c r="D824" t="s">
        <v>180</v>
      </c>
      <c r="E824" t="s">
        <v>11</v>
      </c>
      <c r="F824" s="1" t="d">
        <v>2019-07-02</v>
      </c>
      <c r="G824" s="1" t="d">
        <v>2024-07-15</v>
      </c>
      <c r="I824" t="str">
        <f>VLOOKUP(D824,Table3[#All],2,FALSE)</f>
        <v>S&amp;D</v>
      </c>
    </row>
    <row r="825" spans="1:9" x14ac:dyDescent="0.2">
      <c r="A825">
        <v>197419</v>
      </c>
      <c r="B825" t="s">
        <v>892</v>
      </c>
      <c r="C825" t="s">
        <v>79</v>
      </c>
      <c r="D825" t="s">
        <v>207</v>
      </c>
      <c r="E825" t="s">
        <v>11</v>
      </c>
      <c r="F825" s="1" t="d">
        <v>2019-07-02</v>
      </c>
      <c r="G825" s="1" t="d">
        <v>2024-07-15</v>
      </c>
      <c r="I825" t="str">
        <f>VLOOKUP(D825,Table3[#All],2,FALSE)</f>
        <v>Renew Europe</v>
      </c>
    </row>
    <row r="826" spans="1:9" x14ac:dyDescent="0.2">
      <c r="A826">
        <v>28340</v>
      </c>
      <c r="B826" t="s">
        <v>893</v>
      </c>
      <c r="C826" t="s">
        <v>25</v>
      </c>
      <c r="D826" t="s">
        <v>180</v>
      </c>
      <c r="E826" t="s">
        <v>11</v>
      </c>
      <c r="F826" s="1" t="d">
        <v>2019-07-02</v>
      </c>
      <c r="G826" s="1" t="d">
        <v>2024-07-15</v>
      </c>
      <c r="I826" t="str">
        <f>VLOOKUP(D826,Table3[#All],2,FALSE)</f>
        <v>S&amp;D</v>
      </c>
    </row>
    <row r="827" spans="1:9" x14ac:dyDescent="0.2">
      <c r="A827">
        <v>256823</v>
      </c>
      <c r="B827" t="s">
        <v>894</v>
      </c>
      <c r="C827" t="s">
        <v>48</v>
      </c>
      <c r="D827" t="s">
        <v>39</v>
      </c>
      <c r="E827" t="s">
        <v>11</v>
      </c>
      <c r="F827" s="1" t="d">
        <v>2026-05-06</v>
      </c>
      <c r="I827" t="str">
        <f>VLOOKUP(D827,Table3[#All],2,FALSE)</f>
        <v>S&amp;D</v>
      </c>
    </row>
    <row r="828" spans="1:9" x14ac:dyDescent="0.2">
      <c r="A828">
        <v>197531</v>
      </c>
      <c r="B828" t="s">
        <v>895</v>
      </c>
      <c r="C828" t="s">
        <v>58</v>
      </c>
      <c r="D828" t="s">
        <v>158</v>
      </c>
      <c r="E828" t="s">
        <v>11</v>
      </c>
      <c r="F828" s="1" t="d">
        <v>2022-01-11</v>
      </c>
      <c r="G828" s="1" t="d">
        <v>2024-07-15</v>
      </c>
      <c r="I828" t="str">
        <f>VLOOKUP(D828,Table3[#All],2,FALSE)</f>
        <v>Greens/EFA</v>
      </c>
    </row>
    <row r="829" spans="1:9" x14ac:dyDescent="0.2">
      <c r="A829">
        <v>257256</v>
      </c>
      <c r="B829" t="s">
        <v>896</v>
      </c>
      <c r="C829" t="s">
        <v>16</v>
      </c>
      <c r="D829" t="s">
        <v>49</v>
      </c>
      <c r="E829" t="s">
        <v>11</v>
      </c>
      <c r="F829" s="1" t="d">
        <v>2024-12-23</v>
      </c>
      <c r="I829" t="str">
        <f>VLOOKUP(D829,Table3[#All],2,FALSE)</f>
        <v>Non-attached</v>
      </c>
    </row>
    <row r="830" spans="1:9" x14ac:dyDescent="0.2">
      <c r="A830">
        <v>197638</v>
      </c>
      <c r="B830" t="s">
        <v>897</v>
      </c>
      <c r="C830" t="s">
        <v>53</v>
      </c>
      <c r="D830" t="s">
        <v>180</v>
      </c>
      <c r="E830" t="s">
        <v>11</v>
      </c>
      <c r="F830" s="1" t="d">
        <v>2019-07-02</v>
      </c>
      <c r="G830" s="1" t="d">
        <v>2024-07-15</v>
      </c>
      <c r="I830" t="str">
        <f>VLOOKUP(D830,Table3[#All],2,FALSE)</f>
        <v>S&amp;D</v>
      </c>
    </row>
    <row r="831" spans="1:9" x14ac:dyDescent="0.2">
      <c r="A831">
        <v>197611</v>
      </c>
      <c r="B831" t="s">
        <v>898</v>
      </c>
      <c r="C831" t="s">
        <v>25</v>
      </c>
      <c r="D831" t="s">
        <v>112</v>
      </c>
      <c r="E831" t="s">
        <v>11</v>
      </c>
      <c r="F831" s="1" t="d">
        <v>2019-07-02</v>
      </c>
      <c r="G831" s="1" t="d">
        <v>2024-07-15</v>
      </c>
      <c r="I831" t="str">
        <f>VLOOKUP(D831,Table3[#All],2,FALSE)</f>
        <v>ID</v>
      </c>
    </row>
    <row r="832" spans="1:9" x14ac:dyDescent="0.2">
      <c r="A832">
        <v>197765</v>
      </c>
      <c r="B832" t="s">
        <v>899</v>
      </c>
      <c r="C832" t="s">
        <v>191</v>
      </c>
      <c r="D832" t="s">
        <v>29</v>
      </c>
      <c r="E832" t="s">
        <v>11</v>
      </c>
      <c r="F832" s="1" t="d">
        <v>2019-07-02</v>
      </c>
      <c r="G832" s="1" t="d">
        <v>2024-07-15</v>
      </c>
      <c r="I832" t="str">
        <f>VLOOKUP(D832,Table3[#All],2,FALSE)</f>
        <v>EPP</v>
      </c>
    </row>
    <row r="833" spans="1:9" x14ac:dyDescent="0.2">
      <c r="A833">
        <v>197512</v>
      </c>
      <c r="B833" t="s">
        <v>900</v>
      </c>
      <c r="C833" t="s">
        <v>58</v>
      </c>
      <c r="D833" t="s">
        <v>158</v>
      </c>
      <c r="E833" t="s">
        <v>11</v>
      </c>
      <c r="F833" s="1" t="d">
        <v>2019-07-02</v>
      </c>
      <c r="G833" s="1" t="d">
        <v>2024-07-15</v>
      </c>
      <c r="I833" t="str">
        <f>VLOOKUP(D833,Table3[#All],2,FALSE)</f>
        <v>Greens/EFA</v>
      </c>
    </row>
    <row r="834" spans="1:9" x14ac:dyDescent="0.2">
      <c r="A834">
        <v>257151</v>
      </c>
      <c r="B834" t="s">
        <v>901</v>
      </c>
      <c r="C834" t="s">
        <v>25</v>
      </c>
      <c r="D834" t="s">
        <v>14</v>
      </c>
      <c r="E834" t="s">
        <v>11</v>
      </c>
      <c r="F834" s="1" t="d">
        <v>2024-07-16</v>
      </c>
      <c r="I834" t="str">
        <f>VLOOKUP(D834,Table3[#All],2,FALSE)</f>
        <v>EPP</v>
      </c>
    </row>
    <row r="835" spans="1:9" x14ac:dyDescent="0.2">
      <c r="A835">
        <v>257121</v>
      </c>
      <c r="B835" t="s">
        <v>902</v>
      </c>
      <c r="C835" t="s">
        <v>25</v>
      </c>
      <c r="D835" t="s">
        <v>39</v>
      </c>
      <c r="E835" t="s">
        <v>11</v>
      </c>
      <c r="F835" s="1" t="d">
        <v>2024-07-16</v>
      </c>
      <c r="I835" t="str">
        <f>VLOOKUP(D835,Table3[#All],2,FALSE)</f>
        <v>S&amp;D</v>
      </c>
    </row>
    <row r="836" spans="1:9" x14ac:dyDescent="0.2">
      <c r="A836">
        <v>114268</v>
      </c>
      <c r="B836" t="s">
        <v>903</v>
      </c>
      <c r="C836" t="s">
        <v>96</v>
      </c>
      <c r="D836" t="s">
        <v>207</v>
      </c>
      <c r="E836" t="s">
        <v>11</v>
      </c>
      <c r="F836" s="1" t="d">
        <v>2019-07-02</v>
      </c>
      <c r="G836" s="1" t="d">
        <v>2024-07-15</v>
      </c>
      <c r="I836" t="str">
        <f>VLOOKUP(D836,Table3[#All],2,FALSE)</f>
        <v>Renew Europe</v>
      </c>
    </row>
    <row r="837" spans="1:9" x14ac:dyDescent="0.2">
      <c r="A837">
        <v>209896</v>
      </c>
      <c r="B837" t="s">
        <v>904</v>
      </c>
      <c r="C837" t="s">
        <v>69</v>
      </c>
      <c r="D837" t="s">
        <v>29</v>
      </c>
      <c r="E837" t="s">
        <v>11</v>
      </c>
      <c r="F837" s="1" t="d">
        <v>2020-11-24</v>
      </c>
      <c r="G837" s="1" t="d">
        <v>2024-07-15</v>
      </c>
      <c r="I837" t="str">
        <f>VLOOKUP(D837,Table3[#All],2,FALSE)</f>
        <v>EPP</v>
      </c>
    </row>
    <row r="838" spans="1:9" x14ac:dyDescent="0.2">
      <c r="A838">
        <v>28224</v>
      </c>
      <c r="B838" t="s">
        <v>905</v>
      </c>
      <c r="C838" t="s">
        <v>13</v>
      </c>
      <c r="D838" t="s">
        <v>29</v>
      </c>
      <c r="E838" t="s">
        <v>11</v>
      </c>
      <c r="F838" s="1" t="d">
        <v>2019-07-02</v>
      </c>
      <c r="G838" s="1" t="d">
        <v>2024-07-15</v>
      </c>
      <c r="I838" t="str">
        <f>VLOOKUP(D838,Table3[#All],2,FALSE)</f>
        <v>EPP</v>
      </c>
    </row>
    <row r="839" spans="1:9" x14ac:dyDescent="0.2">
      <c r="A839">
        <v>256965</v>
      </c>
      <c r="B839" t="s">
        <v>906</v>
      </c>
      <c r="C839" t="s">
        <v>13</v>
      </c>
      <c r="D839" t="s">
        <v>20</v>
      </c>
      <c r="E839" t="s">
        <v>11</v>
      </c>
      <c r="F839" s="1" t="d">
        <v>2024-07-16</v>
      </c>
      <c r="I839" t="str">
        <f>VLOOKUP(D839,Table3[#All],2,FALSE)</f>
        <v>Greens/EFA</v>
      </c>
    </row>
    <row r="840" spans="1:9" x14ac:dyDescent="0.2">
      <c r="A840">
        <v>101585</v>
      </c>
      <c r="B840" t="s">
        <v>907</v>
      </c>
      <c r="C840" t="s">
        <v>131</v>
      </c>
      <c r="D840" t="s">
        <v>39</v>
      </c>
      <c r="E840" t="s">
        <v>11</v>
      </c>
      <c r="F840" s="1" t="d">
        <v>2024-07-16</v>
      </c>
      <c r="I840" t="str">
        <f>VLOOKUP(D840,Table3[#All],2,FALSE)</f>
        <v>S&amp;D</v>
      </c>
    </row>
    <row r="841" spans="1:9" x14ac:dyDescent="0.2">
      <c r="A841">
        <v>96820</v>
      </c>
      <c r="B841" t="s">
        <v>908</v>
      </c>
      <c r="C841" t="s">
        <v>53</v>
      </c>
      <c r="D841" t="s">
        <v>23</v>
      </c>
      <c r="E841" t="s">
        <v>51</v>
      </c>
      <c r="F841" s="1" t="d">
        <v>2020-12-18</v>
      </c>
      <c r="G841" s="1" t="d">
        <v>2024-03-25</v>
      </c>
      <c r="I841" t="str">
        <f>VLOOKUP(D841,Table3[#All],2,FALSE)</f>
        <v>The Left</v>
      </c>
    </row>
    <row r="842" spans="1:9" x14ac:dyDescent="0.2">
      <c r="A842">
        <v>197717</v>
      </c>
      <c r="B842" t="s">
        <v>909</v>
      </c>
      <c r="C842" t="s">
        <v>22</v>
      </c>
      <c r="D842" t="s">
        <v>180</v>
      </c>
      <c r="E842" t="s">
        <v>11</v>
      </c>
      <c r="F842" s="1" t="d">
        <v>2019-07-02</v>
      </c>
      <c r="G842" s="1" t="d">
        <v>2024-07-15</v>
      </c>
      <c r="I842" t="str">
        <f>VLOOKUP(D842,Table3[#All],2,FALSE)</f>
        <v>S&amp;D</v>
      </c>
    </row>
    <row r="843" spans="1:9" x14ac:dyDescent="0.2">
      <c r="A843">
        <v>4395</v>
      </c>
      <c r="B843" t="s">
        <v>910</v>
      </c>
      <c r="C843" t="s">
        <v>25</v>
      </c>
      <c r="D843" t="s">
        <v>17</v>
      </c>
      <c r="E843" t="s">
        <v>11</v>
      </c>
      <c r="F843" s="1" t="d">
        <v>2024-07-16</v>
      </c>
      <c r="I843" t="str">
        <f>VLOOKUP(D843,Table3[#All],2,FALSE)</f>
        <v>ECR</v>
      </c>
    </row>
    <row r="844" spans="1:9" x14ac:dyDescent="0.2">
      <c r="A844">
        <v>124872</v>
      </c>
      <c r="B844" t="s">
        <v>911</v>
      </c>
      <c r="C844" t="s">
        <v>131</v>
      </c>
      <c r="D844" t="s">
        <v>207</v>
      </c>
      <c r="E844" t="s">
        <v>11</v>
      </c>
      <c r="F844" s="1" t="d">
        <v>2019-07-02</v>
      </c>
      <c r="G844" s="1" t="d">
        <v>2024-07-15</v>
      </c>
      <c r="I844" t="str">
        <f>VLOOKUP(D844,Table3[#All],2,FALSE)</f>
        <v>Renew Europe</v>
      </c>
    </row>
    <row r="845" spans="1:9" x14ac:dyDescent="0.2">
      <c r="A845">
        <v>197756</v>
      </c>
      <c r="B845" t="s">
        <v>912</v>
      </c>
      <c r="C845" t="s">
        <v>9</v>
      </c>
      <c r="D845" t="s">
        <v>180</v>
      </c>
      <c r="E845" t="s">
        <v>11</v>
      </c>
      <c r="F845" s="1" t="d">
        <v>2019-07-02</v>
      </c>
      <c r="G845" s="1" t="d">
        <v>2024-07-15</v>
      </c>
      <c r="I845" t="str">
        <f>VLOOKUP(D845,Table3[#All],2,FALSE)</f>
        <v>S&amp;D</v>
      </c>
    </row>
    <row r="846" spans="1:9" x14ac:dyDescent="0.2">
      <c r="A846">
        <v>125104</v>
      </c>
      <c r="B846" t="s">
        <v>913</v>
      </c>
      <c r="C846" t="s">
        <v>148</v>
      </c>
      <c r="D846" t="s">
        <v>14</v>
      </c>
      <c r="E846" t="s">
        <v>51</v>
      </c>
      <c r="F846" s="1" t="d">
        <v>2024-07-16</v>
      </c>
      <c r="I846" t="str">
        <f>VLOOKUP(D846,Table3[#All],2,FALSE)</f>
        <v>EPP</v>
      </c>
    </row>
    <row r="847" spans="1:9" x14ac:dyDescent="0.2">
      <c r="A847">
        <v>257727</v>
      </c>
      <c r="B847" t="s">
        <v>914</v>
      </c>
      <c r="C847" t="s">
        <v>25</v>
      </c>
      <c r="D847" t="s">
        <v>39</v>
      </c>
      <c r="E847" t="s">
        <v>11</v>
      </c>
      <c r="F847" s="1" t="d">
        <v>2024-07-16</v>
      </c>
      <c r="I847" t="str">
        <f>VLOOKUP(D847,Table3[#All],2,FALSE)</f>
        <v>S&amp;D</v>
      </c>
    </row>
    <row r="848" spans="1:9" x14ac:dyDescent="0.2">
      <c r="A848">
        <v>256937</v>
      </c>
      <c r="B848" t="s">
        <v>915</v>
      </c>
      <c r="C848" t="s">
        <v>13</v>
      </c>
      <c r="D848" t="s">
        <v>39</v>
      </c>
      <c r="E848" t="s">
        <v>11</v>
      </c>
      <c r="F848" s="1" t="d">
        <v>2024-07-16</v>
      </c>
      <c r="I848" t="str">
        <f>VLOOKUP(D848,Table3[#All],2,FALSE)</f>
        <v>S&amp;D</v>
      </c>
    </row>
    <row r="849" spans="1:9" x14ac:dyDescent="0.2">
      <c r="A849">
        <v>197511</v>
      </c>
      <c r="B849" t="s">
        <v>916</v>
      </c>
      <c r="C849" t="s">
        <v>58</v>
      </c>
      <c r="D849" t="s">
        <v>207</v>
      </c>
      <c r="E849" t="s">
        <v>11</v>
      </c>
      <c r="F849" s="1" t="d">
        <v>2022-03-09</v>
      </c>
      <c r="G849" s="1" t="d">
        <v>2024-07-15</v>
      </c>
      <c r="I849" t="str">
        <f>VLOOKUP(D849,Table3[#All],2,FALSE)</f>
        <v>Renew Europe</v>
      </c>
    </row>
    <row r="850" spans="1:9" x14ac:dyDescent="0.2">
      <c r="A850">
        <v>197542</v>
      </c>
      <c r="B850" t="s">
        <v>917</v>
      </c>
      <c r="C850" t="s">
        <v>44</v>
      </c>
      <c r="D850" t="s">
        <v>29</v>
      </c>
      <c r="E850" t="s">
        <v>11</v>
      </c>
      <c r="F850" s="1" t="d">
        <v>2019-07-02</v>
      </c>
      <c r="G850" s="1" t="d">
        <v>2024-07-15</v>
      </c>
      <c r="I850" t="str">
        <f>VLOOKUP(D850,Table3[#All],2,FALSE)</f>
        <v>EPP</v>
      </c>
    </row>
    <row r="851" spans="1:9" x14ac:dyDescent="0.2">
      <c r="A851">
        <v>125214</v>
      </c>
      <c r="B851" t="s">
        <v>918</v>
      </c>
      <c r="C851" t="s">
        <v>65</v>
      </c>
      <c r="D851" t="s">
        <v>158</v>
      </c>
      <c r="E851" t="s">
        <v>11</v>
      </c>
      <c r="F851" s="1" t="d">
        <v>2019-07-02</v>
      </c>
      <c r="G851" s="1" t="d">
        <v>2024-07-15</v>
      </c>
      <c r="I851" t="str">
        <f>VLOOKUP(D851,Table3[#All],2,FALSE)</f>
        <v>Greens/EFA</v>
      </c>
    </row>
    <row r="852" spans="1:9" x14ac:dyDescent="0.2">
      <c r="A852">
        <v>124722</v>
      </c>
      <c r="B852" t="s">
        <v>919</v>
      </c>
      <c r="C852" t="s">
        <v>108</v>
      </c>
      <c r="D852" t="s">
        <v>39</v>
      </c>
      <c r="E852" t="s">
        <v>11</v>
      </c>
      <c r="F852" s="1" t="d">
        <v>2024-07-16</v>
      </c>
      <c r="I852" t="str">
        <f>VLOOKUP(D852,Table3[#All],2,FALSE)</f>
        <v>S&amp;D</v>
      </c>
    </row>
    <row r="853" spans="1:9" x14ac:dyDescent="0.2">
      <c r="A853">
        <v>125021</v>
      </c>
      <c r="B853" t="s">
        <v>920</v>
      </c>
      <c r="C853" t="s">
        <v>9</v>
      </c>
      <c r="D853" t="s">
        <v>180</v>
      </c>
      <c r="E853" t="s">
        <v>11</v>
      </c>
      <c r="F853" s="1" t="d">
        <v>2019-07-02</v>
      </c>
      <c r="G853" s="1" t="d">
        <v>2024-07-15</v>
      </c>
      <c r="I853" t="str">
        <f>VLOOKUP(D853,Table3[#All],2,FALSE)</f>
        <v>S&amp;D</v>
      </c>
    </row>
    <row r="854" spans="1:9" x14ac:dyDescent="0.2">
      <c r="A854">
        <v>96834</v>
      </c>
      <c r="B854" t="s">
        <v>921</v>
      </c>
      <c r="C854" t="s">
        <v>16</v>
      </c>
      <c r="D854" t="s">
        <v>922</v>
      </c>
      <c r="E854" t="s">
        <v>11</v>
      </c>
      <c r="F854" s="1" t="d">
        <v>2009-07-14</v>
      </c>
      <c r="G854" s="1" t="d">
        <v>2012-12-31</v>
      </c>
      <c r="I854" t="str">
        <f>VLOOKUP(D854,Table3[#All],2,FALSE)</f>
        <v>EPP</v>
      </c>
    </row>
    <row r="855" spans="1:9" x14ac:dyDescent="0.2">
      <c r="A855">
        <v>124771</v>
      </c>
      <c r="B855" t="s">
        <v>923</v>
      </c>
      <c r="C855" t="s">
        <v>58</v>
      </c>
      <c r="D855" t="s">
        <v>112</v>
      </c>
      <c r="E855" t="s">
        <v>11</v>
      </c>
      <c r="F855" s="1" t="d">
        <v>2019-07-02</v>
      </c>
      <c r="G855" s="1" t="d">
        <v>2024-07-15</v>
      </c>
      <c r="I855" t="str">
        <f>VLOOKUP(D855,Table3[#All],2,FALSE)</f>
        <v>ID</v>
      </c>
    </row>
    <row r="856" spans="1:9" x14ac:dyDescent="0.2">
      <c r="A856">
        <v>229839</v>
      </c>
      <c r="B856" t="s">
        <v>924</v>
      </c>
      <c r="C856" t="s">
        <v>13</v>
      </c>
      <c r="D856" t="s">
        <v>39</v>
      </c>
      <c r="E856" t="s">
        <v>11</v>
      </c>
      <c r="F856" s="1" t="d">
        <v>2024-07-16</v>
      </c>
      <c r="I856" t="str">
        <f>VLOOKUP(D856,Table3[#All],2,FALSE)</f>
        <v>S&amp;D</v>
      </c>
    </row>
    <row r="857" spans="1:9" x14ac:dyDescent="0.2">
      <c r="A857">
        <v>197496</v>
      </c>
      <c r="B857" t="s">
        <v>925</v>
      </c>
      <c r="C857" t="s">
        <v>44</v>
      </c>
      <c r="D857" t="s">
        <v>180</v>
      </c>
      <c r="E857" t="s">
        <v>51</v>
      </c>
      <c r="F857" s="1" t="d">
        <v>2021-12-16</v>
      </c>
      <c r="G857" s="1" t="d">
        <v>2024-07-15</v>
      </c>
      <c r="I857" t="str">
        <f>VLOOKUP(D857,Table3[#All],2,FALSE)</f>
        <v>S&amp;D</v>
      </c>
    </row>
    <row r="858" spans="1:9" x14ac:dyDescent="0.2">
      <c r="A858">
        <v>24505</v>
      </c>
      <c r="B858" t="s">
        <v>926</v>
      </c>
      <c r="C858" t="s">
        <v>58</v>
      </c>
      <c r="D858" t="s">
        <v>23</v>
      </c>
      <c r="E858" t="s">
        <v>11</v>
      </c>
      <c r="F858" s="1" t="d">
        <v>2020-12-18</v>
      </c>
      <c r="G858" s="1" t="d">
        <v>2024-07-15</v>
      </c>
      <c r="I858" t="str">
        <f>VLOOKUP(D858,Table3[#All],2,FALSE)</f>
        <v>The Left</v>
      </c>
    </row>
    <row r="859" spans="1:9" x14ac:dyDescent="0.2">
      <c r="A859">
        <v>256918</v>
      </c>
      <c r="B859" t="s">
        <v>927</v>
      </c>
      <c r="C859" t="s">
        <v>58</v>
      </c>
      <c r="D859" t="s">
        <v>14</v>
      </c>
      <c r="E859" t="s">
        <v>11</v>
      </c>
      <c r="F859" s="1" t="d">
        <v>2024-07-16</v>
      </c>
      <c r="I859" t="str">
        <f>VLOOKUP(D859,Table3[#All],2,FALSE)</f>
        <v>EPP</v>
      </c>
    </row>
    <row r="860" spans="1:9" x14ac:dyDescent="0.2">
      <c r="A860">
        <v>197582</v>
      </c>
      <c r="B860" t="s">
        <v>928</v>
      </c>
      <c r="C860" t="s">
        <v>25</v>
      </c>
      <c r="D860" t="s">
        <v>112</v>
      </c>
      <c r="E860" t="s">
        <v>11</v>
      </c>
      <c r="F860" s="1" t="d">
        <v>2019-07-02</v>
      </c>
      <c r="G860" s="1" t="d">
        <v>2024-07-15</v>
      </c>
      <c r="I860" t="str">
        <f>VLOOKUP(D860,Table3[#All],2,FALSE)</f>
        <v>ID</v>
      </c>
    </row>
    <row r="861" spans="1:9" x14ac:dyDescent="0.2">
      <c r="A861">
        <v>125023</v>
      </c>
      <c r="B861" t="s">
        <v>929</v>
      </c>
      <c r="C861" t="s">
        <v>9</v>
      </c>
      <c r="D861" t="s">
        <v>33</v>
      </c>
      <c r="E861" t="s">
        <v>18</v>
      </c>
      <c r="F861" s="1" t="d">
        <v>2024-07-18</v>
      </c>
      <c r="I861" t="str">
        <f>VLOOKUP(D861,Table3[#All],2,FALSE)</f>
        <v>The Left</v>
      </c>
    </row>
    <row r="862" spans="1:9" x14ac:dyDescent="0.2">
      <c r="A862">
        <v>197429</v>
      </c>
      <c r="B862" t="s">
        <v>930</v>
      </c>
      <c r="C862" t="s">
        <v>13</v>
      </c>
      <c r="D862" t="s">
        <v>14</v>
      </c>
      <c r="E862" t="s">
        <v>11</v>
      </c>
      <c r="F862" s="1" t="d">
        <v>2024-07-16</v>
      </c>
      <c r="I862" t="str">
        <f>VLOOKUP(D862,Table3[#All],2,FALSE)</f>
        <v>EPP</v>
      </c>
    </row>
    <row r="863" spans="1:9" x14ac:dyDescent="0.2">
      <c r="A863">
        <v>257129</v>
      </c>
      <c r="B863" t="s">
        <v>931</v>
      </c>
      <c r="C863" t="s">
        <v>25</v>
      </c>
      <c r="D863" t="s">
        <v>33</v>
      </c>
      <c r="E863" t="s">
        <v>11</v>
      </c>
      <c r="F863" s="1" t="d">
        <v>2024-07-16</v>
      </c>
      <c r="I863" t="str">
        <f>VLOOKUP(D863,Table3[#All],2,FALSE)</f>
        <v>The Left</v>
      </c>
    </row>
    <row r="864" spans="1:9" x14ac:dyDescent="0.2">
      <c r="A864">
        <v>28353</v>
      </c>
      <c r="B864" t="s">
        <v>932</v>
      </c>
      <c r="C864" t="s">
        <v>44</v>
      </c>
      <c r="D864" t="s">
        <v>80</v>
      </c>
      <c r="E864" t="s">
        <v>11</v>
      </c>
      <c r="F864" s="1" t="d">
        <v>2019-07-02</v>
      </c>
      <c r="G864" s="1" t="d">
        <v>2024-07-15</v>
      </c>
      <c r="I864" t="str">
        <f>VLOOKUP(D864,Table3[#All],2,FALSE)</f>
        <v>ECR</v>
      </c>
    </row>
    <row r="865" spans="1:9" x14ac:dyDescent="0.2">
      <c r="A865">
        <v>197579</v>
      </c>
      <c r="B865" t="s">
        <v>933</v>
      </c>
      <c r="C865" t="s">
        <v>108</v>
      </c>
      <c r="D865" t="s">
        <v>39</v>
      </c>
      <c r="E865" t="s">
        <v>11</v>
      </c>
      <c r="F865" s="1" t="d">
        <v>2024-07-16</v>
      </c>
      <c r="I865" t="str">
        <f>VLOOKUP(D865,Table3[#All],2,FALSE)</f>
        <v>S&amp;D</v>
      </c>
    </row>
    <row r="866" spans="1:9" x14ac:dyDescent="0.2">
      <c r="A866">
        <v>197584</v>
      </c>
      <c r="B866" t="s">
        <v>934</v>
      </c>
      <c r="C866" t="s">
        <v>108</v>
      </c>
      <c r="D866" t="s">
        <v>180</v>
      </c>
      <c r="E866" t="s">
        <v>11</v>
      </c>
      <c r="F866" s="1" t="d">
        <v>2019-07-02</v>
      </c>
      <c r="G866" s="1" t="d">
        <v>2024-07-15</v>
      </c>
      <c r="I866" t="str">
        <f>VLOOKUP(D866,Table3[#All],2,FALSE)</f>
        <v>S&amp;D</v>
      </c>
    </row>
    <row r="867" spans="1:9" x14ac:dyDescent="0.2">
      <c r="A867">
        <v>197792</v>
      </c>
      <c r="B867" t="s">
        <v>935</v>
      </c>
      <c r="C867" t="s">
        <v>25</v>
      </c>
      <c r="D867" t="s">
        <v>180</v>
      </c>
      <c r="E867" t="s">
        <v>11</v>
      </c>
      <c r="F867" s="1" t="d">
        <v>2023-01-25</v>
      </c>
      <c r="G867" s="1" t="d">
        <v>2024-07-15</v>
      </c>
      <c r="I867" t="str">
        <f>VLOOKUP(D867,Table3[#All],2,FALSE)</f>
        <v>S&amp;D</v>
      </c>
    </row>
    <row r="868" spans="1:9" x14ac:dyDescent="0.2">
      <c r="A868">
        <v>257032</v>
      </c>
      <c r="B868" t="s">
        <v>936</v>
      </c>
      <c r="C868" t="s">
        <v>44</v>
      </c>
      <c r="D868" t="s">
        <v>14</v>
      </c>
      <c r="E868" t="s">
        <v>11</v>
      </c>
      <c r="F868" s="1" t="d">
        <v>2024-07-16</v>
      </c>
      <c r="I868" t="str">
        <f>VLOOKUP(D868,Table3[#All],2,FALSE)</f>
        <v>EPP</v>
      </c>
    </row>
    <row r="869" spans="1:9" x14ac:dyDescent="0.2">
      <c r="A869">
        <v>257145</v>
      </c>
      <c r="B869" t="s">
        <v>937</v>
      </c>
      <c r="C869" t="s">
        <v>25</v>
      </c>
      <c r="D869" t="s">
        <v>17</v>
      </c>
      <c r="E869" t="s">
        <v>11</v>
      </c>
      <c r="F869" s="1" t="d">
        <v>2024-07-16</v>
      </c>
      <c r="I869" t="str">
        <f>VLOOKUP(D869,Table3[#All],2,FALSE)</f>
        <v>ECR</v>
      </c>
    </row>
    <row r="870" spans="1:9" x14ac:dyDescent="0.2">
      <c r="A870">
        <v>24594</v>
      </c>
      <c r="B870" t="s">
        <v>938</v>
      </c>
      <c r="C870" t="s">
        <v>58</v>
      </c>
      <c r="D870" t="s">
        <v>29</v>
      </c>
      <c r="E870" t="s">
        <v>11</v>
      </c>
      <c r="F870" s="1" t="d">
        <v>2019-07-02</v>
      </c>
      <c r="G870" s="1" t="d">
        <v>2024-07-15</v>
      </c>
      <c r="I870" t="str">
        <f>VLOOKUP(D870,Table3[#All],2,FALSE)</f>
        <v>EPP</v>
      </c>
    </row>
    <row r="871" spans="1:9" x14ac:dyDescent="0.2">
      <c r="A871">
        <v>96734</v>
      </c>
      <c r="B871" t="s">
        <v>939</v>
      </c>
      <c r="C871" t="s">
        <v>13</v>
      </c>
      <c r="D871" t="s">
        <v>158</v>
      </c>
      <c r="E871" t="s">
        <v>11</v>
      </c>
      <c r="F871" s="1" t="d">
        <v>2022-09-14</v>
      </c>
      <c r="G871" s="1" t="d">
        <v>2024-07-15</v>
      </c>
      <c r="I871" t="str">
        <f>VLOOKUP(D871,Table3[#All],2,FALSE)</f>
        <v>Greens/EFA</v>
      </c>
    </row>
    <row r="872" spans="1:9" x14ac:dyDescent="0.2">
      <c r="A872">
        <v>120478</v>
      </c>
      <c r="B872" t="s">
        <v>940</v>
      </c>
      <c r="C872" t="s">
        <v>13</v>
      </c>
      <c r="D872" t="s">
        <v>23</v>
      </c>
      <c r="E872" t="s">
        <v>11</v>
      </c>
      <c r="F872" s="1" t="d">
        <v>2020-12-18</v>
      </c>
      <c r="G872" s="1" t="d">
        <v>2024-07-15</v>
      </c>
      <c r="I872" t="str">
        <f>VLOOKUP(D872,Table3[#All],2,FALSE)</f>
        <v>The Left</v>
      </c>
    </row>
    <row r="873" spans="1:9" x14ac:dyDescent="0.2">
      <c r="A873">
        <v>197767</v>
      </c>
      <c r="B873" t="s">
        <v>941</v>
      </c>
      <c r="C873" t="s">
        <v>191</v>
      </c>
      <c r="D873" t="s">
        <v>80</v>
      </c>
      <c r="E873" t="s">
        <v>18</v>
      </c>
      <c r="F873" s="1" t="d">
        <v>2019-07-02</v>
      </c>
      <c r="G873" s="1" t="d">
        <v>2024-07-15</v>
      </c>
      <c r="I873" t="str">
        <f>VLOOKUP(D873,Table3[#All],2,FALSE)</f>
        <v>ECR</v>
      </c>
    </row>
    <row r="874" spans="1:9" x14ac:dyDescent="0.2">
      <c r="A874">
        <v>204733</v>
      </c>
      <c r="B874" t="s">
        <v>942</v>
      </c>
      <c r="C874" t="s">
        <v>9</v>
      </c>
      <c r="D874" t="s">
        <v>80</v>
      </c>
      <c r="E874" t="s">
        <v>11</v>
      </c>
      <c r="F874" s="1" t="d">
        <v>2021-12-08</v>
      </c>
      <c r="G874" s="1" t="d">
        <v>2024-07-15</v>
      </c>
      <c r="I874" t="str">
        <f>VLOOKUP(D874,Table3[#All],2,FALSE)</f>
        <v>ECR</v>
      </c>
    </row>
    <row r="875" spans="1:9" x14ac:dyDescent="0.2">
      <c r="A875">
        <v>28122</v>
      </c>
      <c r="B875" t="s">
        <v>943</v>
      </c>
      <c r="C875" t="s">
        <v>73</v>
      </c>
      <c r="D875" t="s">
        <v>14</v>
      </c>
      <c r="E875" t="s">
        <v>11</v>
      </c>
      <c r="F875" s="1" t="d">
        <v>2024-07-16</v>
      </c>
      <c r="I875" t="str">
        <f>VLOOKUP(D875,Table3[#All],2,FALSE)</f>
        <v>EPP</v>
      </c>
    </row>
    <row r="876" spans="1:9" x14ac:dyDescent="0.2">
      <c r="A876">
        <v>197588</v>
      </c>
      <c r="B876" t="s">
        <v>944</v>
      </c>
      <c r="C876" t="s">
        <v>108</v>
      </c>
      <c r="D876" t="s">
        <v>207</v>
      </c>
      <c r="E876" t="s">
        <v>51</v>
      </c>
      <c r="F876" s="1" t="d">
        <v>2019-07-02</v>
      </c>
      <c r="G876" s="1" t="d">
        <v>2024-07-15</v>
      </c>
      <c r="I876" t="str">
        <f>VLOOKUP(D876,Table3[#All],2,FALSE)</f>
        <v>Renew Europe</v>
      </c>
    </row>
    <row r="877" spans="1:9" x14ac:dyDescent="0.2">
      <c r="A877">
        <v>257001</v>
      </c>
      <c r="B877" t="s">
        <v>945</v>
      </c>
      <c r="C877" t="s">
        <v>22</v>
      </c>
      <c r="D877" t="s">
        <v>39</v>
      </c>
      <c r="E877" t="s">
        <v>11</v>
      </c>
      <c r="F877" s="1" t="d">
        <v>2024-07-16</v>
      </c>
      <c r="I877" t="str">
        <f>VLOOKUP(D877,Table3[#All],2,FALSE)</f>
        <v>S&amp;D</v>
      </c>
    </row>
    <row r="878" spans="1:9" x14ac:dyDescent="0.2">
      <c r="A878">
        <v>197459</v>
      </c>
      <c r="B878" t="s">
        <v>946</v>
      </c>
      <c r="C878" t="s">
        <v>13</v>
      </c>
      <c r="D878" t="s">
        <v>158</v>
      </c>
      <c r="E878" t="s">
        <v>11</v>
      </c>
      <c r="F878" s="1" t="d">
        <v>2019-07-02</v>
      </c>
      <c r="G878" s="1" t="d">
        <v>2024-07-15</v>
      </c>
      <c r="I878" t="str">
        <f>VLOOKUP(D878,Table3[#All],2,FALSE)</f>
        <v>Greens/EFA</v>
      </c>
    </row>
    <row r="879" spans="1:9" x14ac:dyDescent="0.2">
      <c r="A879">
        <v>112748</v>
      </c>
      <c r="B879" t="s">
        <v>947</v>
      </c>
      <c r="C879" t="s">
        <v>79</v>
      </c>
      <c r="D879" t="s">
        <v>39</v>
      </c>
      <c r="E879" t="s">
        <v>11</v>
      </c>
      <c r="F879" s="1" t="d">
        <v>2024-07-16</v>
      </c>
      <c r="I879" t="str">
        <f>VLOOKUP(D879,Table3[#All],2,FALSE)</f>
        <v>S&amp;D</v>
      </c>
    </row>
    <row r="880" spans="1:9" x14ac:dyDescent="0.2">
      <c r="A880">
        <v>96779</v>
      </c>
      <c r="B880" t="s">
        <v>948</v>
      </c>
      <c r="C880" t="s">
        <v>44</v>
      </c>
      <c r="D880" t="s">
        <v>29</v>
      </c>
      <c r="E880" t="s">
        <v>11</v>
      </c>
      <c r="F880" s="1" t="d">
        <v>2019-07-02</v>
      </c>
      <c r="G880" s="1" t="d">
        <v>2024-07-15</v>
      </c>
      <c r="I880" t="str">
        <f>VLOOKUP(D880,Table3[#All],2,FALSE)</f>
        <v>EPP</v>
      </c>
    </row>
    <row r="881" spans="1:9" x14ac:dyDescent="0.2">
      <c r="A881">
        <v>197848</v>
      </c>
      <c r="B881" t="s">
        <v>949</v>
      </c>
      <c r="C881" t="s">
        <v>16</v>
      </c>
      <c r="D881" t="s">
        <v>207</v>
      </c>
      <c r="E881" t="s">
        <v>11</v>
      </c>
      <c r="F881" s="1" t="d">
        <v>2019-07-02</v>
      </c>
      <c r="G881" s="1" t="d">
        <v>2024-06-18</v>
      </c>
      <c r="I881" t="str">
        <f>VLOOKUP(D881,Table3[#All],2,FALSE)</f>
        <v>Renew Europe</v>
      </c>
    </row>
    <row r="882" spans="1:9" x14ac:dyDescent="0.2">
      <c r="A882">
        <v>190518</v>
      </c>
      <c r="B882" t="s">
        <v>950</v>
      </c>
      <c r="C882" t="s">
        <v>13</v>
      </c>
      <c r="D882" t="s">
        <v>146</v>
      </c>
      <c r="E882" t="s">
        <v>11</v>
      </c>
      <c r="F882" s="1" t="d">
        <v>2022-02-14</v>
      </c>
      <c r="G882" s="1" t="d">
        <v>2024-07-15</v>
      </c>
      <c r="I882" t="str">
        <f>VLOOKUP(D882,Table3[#All],2,FALSE)</f>
        <v>EPP</v>
      </c>
    </row>
    <row r="883" spans="1:9" x14ac:dyDescent="0.2">
      <c r="A883">
        <v>257047</v>
      </c>
      <c r="B883" t="s">
        <v>951</v>
      </c>
      <c r="C883" t="s">
        <v>44</v>
      </c>
      <c r="D883" t="s">
        <v>14</v>
      </c>
      <c r="E883" t="s">
        <v>11</v>
      </c>
      <c r="F883" s="1" t="d">
        <v>2024-07-16</v>
      </c>
      <c r="I883" t="str">
        <f>VLOOKUP(D883,Table3[#All],2,FALSE)</f>
        <v>EPP</v>
      </c>
    </row>
    <row r="884" spans="1:9" x14ac:dyDescent="0.2">
      <c r="A884">
        <v>257087</v>
      </c>
      <c r="B884" t="s">
        <v>952</v>
      </c>
      <c r="C884" t="s">
        <v>71</v>
      </c>
      <c r="D884" t="s">
        <v>39</v>
      </c>
      <c r="E884" t="s">
        <v>11</v>
      </c>
      <c r="F884" s="1" t="d">
        <v>2024-07-16</v>
      </c>
      <c r="I884" t="str">
        <f>VLOOKUP(D884,Table3[#All],2,FALSE)</f>
        <v>S&amp;D</v>
      </c>
    </row>
    <row r="885" spans="1:9" x14ac:dyDescent="0.2">
      <c r="A885">
        <v>204420</v>
      </c>
      <c r="B885" t="s">
        <v>953</v>
      </c>
      <c r="C885" t="s">
        <v>58</v>
      </c>
      <c r="D885" t="s">
        <v>158</v>
      </c>
      <c r="E885" t="s">
        <v>11</v>
      </c>
      <c r="F885" s="1" t="d">
        <v>2020-02-05</v>
      </c>
      <c r="G885" s="1" t="d">
        <v>2024-07-15</v>
      </c>
      <c r="I885" t="str">
        <f>VLOOKUP(D885,Table3[#All],2,FALSE)</f>
        <v>Greens/EFA</v>
      </c>
    </row>
    <row r="886" spans="1:9" x14ac:dyDescent="0.2">
      <c r="A886">
        <v>197427</v>
      </c>
      <c r="B886" t="s">
        <v>954</v>
      </c>
      <c r="C886" t="s">
        <v>13</v>
      </c>
      <c r="D886" t="s">
        <v>29</v>
      </c>
      <c r="E886" t="s">
        <v>11</v>
      </c>
      <c r="F886" s="1" t="d">
        <v>2019-07-02</v>
      </c>
      <c r="G886" s="1" t="d">
        <v>2024-07-15</v>
      </c>
      <c r="I886" t="str">
        <f>VLOOKUP(D886,Table3[#All],2,FALSE)</f>
        <v>EPP</v>
      </c>
    </row>
    <row r="887" spans="1:9" x14ac:dyDescent="0.2">
      <c r="A887">
        <v>96899</v>
      </c>
      <c r="B887" t="s">
        <v>955</v>
      </c>
      <c r="C887" t="s">
        <v>53</v>
      </c>
      <c r="D887" t="s">
        <v>29</v>
      </c>
      <c r="E887" t="s">
        <v>11</v>
      </c>
      <c r="F887" s="1" t="d">
        <v>2019-07-02</v>
      </c>
      <c r="G887" s="1" t="d">
        <v>2024-04-01</v>
      </c>
      <c r="I887" t="str">
        <f>VLOOKUP(D887,Table3[#All],2,FALSE)</f>
        <v>EPP</v>
      </c>
    </row>
    <row r="888" spans="1:9" x14ac:dyDescent="0.2">
      <c r="A888">
        <v>96833</v>
      </c>
      <c r="B888" t="s">
        <v>956</v>
      </c>
      <c r="C888" t="s">
        <v>13</v>
      </c>
      <c r="D888" t="s">
        <v>39</v>
      </c>
      <c r="E888" t="s">
        <v>11</v>
      </c>
      <c r="F888" s="1" t="d">
        <v>2024-07-16</v>
      </c>
      <c r="I888" t="str">
        <f>VLOOKUP(D888,Table3[#All],2,FALSE)</f>
        <v>S&amp;D</v>
      </c>
    </row>
    <row r="889" spans="1:9" x14ac:dyDescent="0.2">
      <c r="A889">
        <v>124837</v>
      </c>
      <c r="B889" t="s">
        <v>957</v>
      </c>
      <c r="C889" t="s">
        <v>13</v>
      </c>
      <c r="D889" t="s">
        <v>180</v>
      </c>
      <c r="E889" t="s">
        <v>11</v>
      </c>
      <c r="F889" s="1" t="d">
        <v>2019-07-02</v>
      </c>
      <c r="G889" s="1" t="d">
        <v>2024-07-15</v>
      </c>
      <c r="I889" t="str">
        <f>VLOOKUP(D889,Table3[#All],2,FALSE)</f>
        <v>S&amp;D</v>
      </c>
    </row>
    <row r="890" spans="1:9" x14ac:dyDescent="0.2">
      <c r="A890">
        <v>94649</v>
      </c>
      <c r="B890" t="s">
        <v>958</v>
      </c>
      <c r="C890" t="s">
        <v>58</v>
      </c>
      <c r="D890" t="s">
        <v>10</v>
      </c>
      <c r="E890" t="s">
        <v>11</v>
      </c>
      <c r="F890" s="1" t="d">
        <v>2024-07-16</v>
      </c>
      <c r="I890" t="str">
        <f>VLOOKUP(D890,Table3[#All],2,FALSE)</f>
        <v>PfE</v>
      </c>
    </row>
    <row r="891" spans="1:9" x14ac:dyDescent="0.2">
      <c r="A891">
        <v>197559</v>
      </c>
      <c r="B891" t="s">
        <v>959</v>
      </c>
      <c r="C891" t="s">
        <v>44</v>
      </c>
      <c r="D891" t="s">
        <v>80</v>
      </c>
      <c r="E891" t="s">
        <v>11</v>
      </c>
      <c r="F891" s="1" t="d">
        <v>2019-07-02</v>
      </c>
      <c r="G891" s="1" t="d">
        <v>2024-07-15</v>
      </c>
      <c r="I891" t="str">
        <f>VLOOKUP(D891,Table3[#All],2,FALSE)</f>
        <v>ECR</v>
      </c>
    </row>
    <row r="892" spans="1:9" x14ac:dyDescent="0.2">
      <c r="A892">
        <v>4253</v>
      </c>
      <c r="B892" t="s">
        <v>960</v>
      </c>
      <c r="C892" t="s">
        <v>114</v>
      </c>
      <c r="D892" t="s">
        <v>207</v>
      </c>
      <c r="E892" t="s">
        <v>51</v>
      </c>
      <c r="F892" s="1" t="d">
        <v>2019-07-02</v>
      </c>
      <c r="G892" s="1" t="d">
        <v>2024-07-15</v>
      </c>
      <c r="I892" t="str">
        <f>VLOOKUP(D892,Table3[#All],2,FALSE)</f>
        <v>Renew Europe</v>
      </c>
    </row>
    <row r="893" spans="1:9" x14ac:dyDescent="0.2">
      <c r="A893">
        <v>125025</v>
      </c>
      <c r="B893" t="s">
        <v>961</v>
      </c>
      <c r="C893" t="s">
        <v>9</v>
      </c>
      <c r="D893" t="s">
        <v>146</v>
      </c>
      <c r="E893" t="s">
        <v>11</v>
      </c>
      <c r="F893" s="1" t="d">
        <v>2022-10-24</v>
      </c>
      <c r="G893" s="1" t="d">
        <v>2024-07-15</v>
      </c>
      <c r="I893" t="str">
        <f>VLOOKUP(D893,Table3[#All],2,FALSE)</f>
        <v>EPP</v>
      </c>
    </row>
    <row r="894" spans="1:9" x14ac:dyDescent="0.2">
      <c r="A894">
        <v>197632</v>
      </c>
      <c r="B894" t="s">
        <v>962</v>
      </c>
      <c r="C894" t="s">
        <v>27</v>
      </c>
      <c r="D894" t="s">
        <v>207</v>
      </c>
      <c r="E894" t="s">
        <v>11</v>
      </c>
      <c r="F894" s="1" t="d">
        <v>2019-07-02</v>
      </c>
      <c r="G894" s="1" t="d">
        <v>2024-07-15</v>
      </c>
      <c r="I894" t="str">
        <f>VLOOKUP(D894,Table3[#All],2,FALSE)</f>
        <v>Renew Europe</v>
      </c>
    </row>
    <row r="895" spans="1:9" x14ac:dyDescent="0.2">
      <c r="A895">
        <v>197467</v>
      </c>
      <c r="B895" t="s">
        <v>963</v>
      </c>
      <c r="C895" t="s">
        <v>114</v>
      </c>
      <c r="D895" t="s">
        <v>80</v>
      </c>
      <c r="E895" t="s">
        <v>18</v>
      </c>
      <c r="F895" s="1" t="d">
        <v>2019-07-02</v>
      </c>
      <c r="G895" s="1" t="d">
        <v>2024-07-15</v>
      </c>
      <c r="I895" t="str">
        <f>VLOOKUP(D895,Table3[#All],2,FALSE)</f>
        <v>ECR</v>
      </c>
    </row>
    <row r="896" spans="1:9" x14ac:dyDescent="0.2">
      <c r="A896">
        <v>197596</v>
      </c>
      <c r="B896" t="s">
        <v>964</v>
      </c>
      <c r="C896" t="s">
        <v>96</v>
      </c>
      <c r="D896" t="s">
        <v>80</v>
      </c>
      <c r="E896" t="s">
        <v>11</v>
      </c>
      <c r="F896" s="1" t="d">
        <v>2023-04-06</v>
      </c>
      <c r="G896" s="1" t="d">
        <v>2024-07-15</v>
      </c>
      <c r="I896" t="str">
        <f>VLOOKUP(D896,Table3[#All],2,FALSE)</f>
        <v>ECR</v>
      </c>
    </row>
    <row r="897" spans="1:9" x14ac:dyDescent="0.2">
      <c r="A897">
        <v>243979</v>
      </c>
      <c r="B897" t="s">
        <v>965</v>
      </c>
      <c r="C897" t="s">
        <v>25</v>
      </c>
      <c r="D897" t="s">
        <v>29</v>
      </c>
      <c r="E897" t="s">
        <v>11</v>
      </c>
      <c r="F897" s="1" t="d">
        <v>2023-04-20</v>
      </c>
      <c r="G897" s="1" t="d">
        <v>2024-07-15</v>
      </c>
      <c r="I897" t="str">
        <f>VLOOKUP(D897,Table3[#All],2,FALSE)</f>
        <v>EPP</v>
      </c>
    </row>
    <row r="898" spans="1:9" x14ac:dyDescent="0.2">
      <c r="A898">
        <v>197527</v>
      </c>
      <c r="B898" t="s">
        <v>966</v>
      </c>
      <c r="C898" t="s">
        <v>58</v>
      </c>
      <c r="D898" t="s">
        <v>23</v>
      </c>
      <c r="E898" t="s">
        <v>11</v>
      </c>
      <c r="F898" s="1" t="d">
        <v>2020-12-18</v>
      </c>
      <c r="G898" s="1" t="d">
        <v>2024-07-15</v>
      </c>
      <c r="I898" t="str">
        <f>VLOOKUP(D898,Table3[#All],2,FALSE)</f>
        <v>The Left</v>
      </c>
    </row>
    <row r="899" spans="1:9" x14ac:dyDescent="0.2">
      <c r="A899">
        <v>254718</v>
      </c>
      <c r="B899" t="s">
        <v>967</v>
      </c>
      <c r="C899" t="s">
        <v>53</v>
      </c>
      <c r="D899" t="s">
        <v>23</v>
      </c>
      <c r="E899" t="s">
        <v>11</v>
      </c>
      <c r="F899" s="1" t="d">
        <v>2024-03-26</v>
      </c>
      <c r="G899" s="1" t="d">
        <v>2024-07-15</v>
      </c>
      <c r="I899" t="str">
        <f>VLOOKUP(D899,Table3[#All],2,FALSE)</f>
        <v>The Left</v>
      </c>
    </row>
    <row r="900" spans="1:9" x14ac:dyDescent="0.2">
      <c r="A900">
        <v>124834</v>
      </c>
      <c r="B900" t="s">
        <v>968</v>
      </c>
      <c r="C900" t="s">
        <v>13</v>
      </c>
      <c r="D900" t="s">
        <v>49</v>
      </c>
      <c r="E900" t="s">
        <v>11</v>
      </c>
      <c r="F900" s="1" t="d">
        <v>2024-07-16</v>
      </c>
      <c r="I900" t="str">
        <f>VLOOKUP(D900,Table3[#All],2,FALSE)</f>
        <v>Non-attached</v>
      </c>
    </row>
    <row r="901" spans="1:9" x14ac:dyDescent="0.2">
      <c r="A901">
        <v>131507</v>
      </c>
      <c r="B901" t="s">
        <v>969</v>
      </c>
      <c r="C901" t="s">
        <v>22</v>
      </c>
      <c r="D901" t="s">
        <v>23</v>
      </c>
      <c r="E901" t="s">
        <v>11</v>
      </c>
      <c r="F901" s="1" t="d">
        <v>2020-12-18</v>
      </c>
      <c r="G901" s="1" t="d">
        <v>2024-07-15</v>
      </c>
      <c r="I901" t="str">
        <f>VLOOKUP(D901,Table3[#All],2,FALSE)</f>
        <v>The Left</v>
      </c>
    </row>
    <row r="902" spans="1:9" x14ac:dyDescent="0.2">
      <c r="A902">
        <v>96903</v>
      </c>
      <c r="B902" t="s">
        <v>970</v>
      </c>
      <c r="C902" t="s">
        <v>53</v>
      </c>
      <c r="D902" t="s">
        <v>29</v>
      </c>
      <c r="E902" t="s">
        <v>51</v>
      </c>
      <c r="F902" s="1" t="d">
        <v>2019-07-02</v>
      </c>
      <c r="G902" s="1" t="d">
        <v>2024-04-01</v>
      </c>
      <c r="I902" t="str">
        <f>VLOOKUP(D902,Table3[#All],2,FALSE)</f>
        <v>EPP</v>
      </c>
    </row>
    <row r="903" spans="1:9" x14ac:dyDescent="0.2">
      <c r="A903">
        <v>228604</v>
      </c>
      <c r="B903" t="s">
        <v>971</v>
      </c>
      <c r="C903" t="s">
        <v>71</v>
      </c>
      <c r="D903" t="s">
        <v>180</v>
      </c>
      <c r="E903" t="s">
        <v>11</v>
      </c>
      <c r="F903" s="1" t="d">
        <v>2021-12-14</v>
      </c>
      <c r="G903" s="1" t="d">
        <v>2024-07-15</v>
      </c>
      <c r="I903" t="str">
        <f>VLOOKUP(D903,Table3[#All],2,FALSE)</f>
        <v>S&amp;D</v>
      </c>
    </row>
    <row r="904" spans="1:9" x14ac:dyDescent="0.2">
      <c r="A904">
        <v>23712</v>
      </c>
      <c r="B904" t="s">
        <v>972</v>
      </c>
      <c r="C904" t="s">
        <v>41</v>
      </c>
      <c r="D904" t="s">
        <v>80</v>
      </c>
      <c r="E904" t="s">
        <v>51</v>
      </c>
      <c r="F904" s="1" t="d">
        <v>2023-06-13</v>
      </c>
      <c r="G904" s="1" t="d">
        <v>2024-07-15</v>
      </c>
      <c r="I904" t="str">
        <f>VLOOKUP(D904,Table3[#All],2,FALSE)</f>
        <v>ECR</v>
      </c>
    </row>
    <row r="905" spans="1:9" x14ac:dyDescent="0.2">
      <c r="A905">
        <v>96801</v>
      </c>
      <c r="B905" t="s">
        <v>973</v>
      </c>
      <c r="C905" t="s">
        <v>44</v>
      </c>
      <c r="D905" t="s">
        <v>80</v>
      </c>
      <c r="E905" t="s">
        <v>18</v>
      </c>
      <c r="F905" s="1" t="d">
        <v>2019-07-02</v>
      </c>
      <c r="G905" s="1" t="d">
        <v>2024-07-15</v>
      </c>
      <c r="I905" t="str">
        <f>VLOOKUP(D905,Table3[#All],2,FALSE)</f>
        <v>ECR</v>
      </c>
    </row>
    <row r="906" spans="1:9" x14ac:dyDescent="0.2">
      <c r="A906">
        <v>197585</v>
      </c>
      <c r="B906" t="s">
        <v>974</v>
      </c>
      <c r="C906" t="s">
        <v>58</v>
      </c>
      <c r="D906" t="s">
        <v>207</v>
      </c>
      <c r="E906" t="s">
        <v>11</v>
      </c>
      <c r="F906" s="1" t="d">
        <v>2019-07-02</v>
      </c>
      <c r="G906" s="1" t="d">
        <v>2024-07-15</v>
      </c>
      <c r="I906" t="str">
        <f>VLOOKUP(D906,Table3[#All],2,FALSE)</f>
        <v>Renew Europe</v>
      </c>
    </row>
    <row r="907" spans="1:9" x14ac:dyDescent="0.2">
      <c r="A907">
        <v>198063</v>
      </c>
      <c r="B907" t="s">
        <v>975</v>
      </c>
      <c r="C907" t="s">
        <v>108</v>
      </c>
      <c r="D907" t="s">
        <v>146</v>
      </c>
      <c r="E907" t="s">
        <v>11</v>
      </c>
      <c r="F907" s="1" t="d">
        <v>2019-07-02</v>
      </c>
      <c r="G907" s="1" t="d">
        <v>2024-07-15</v>
      </c>
      <c r="I907" t="str">
        <f>VLOOKUP(D907,Table3[#All],2,FALSE)</f>
        <v>EPP</v>
      </c>
    </row>
    <row r="908" spans="1:9" x14ac:dyDescent="0.2">
      <c r="A908">
        <v>256908</v>
      </c>
      <c r="B908" t="s">
        <v>976</v>
      </c>
      <c r="C908" t="s">
        <v>58</v>
      </c>
      <c r="D908" t="s">
        <v>39</v>
      </c>
      <c r="E908" t="s">
        <v>11</v>
      </c>
      <c r="F908" s="1" t="d">
        <v>2024-07-16</v>
      </c>
      <c r="I908" t="str">
        <f>VLOOKUP(D908,Table3[#All],2,FALSE)</f>
        <v>S&amp;D</v>
      </c>
    </row>
    <row r="909" spans="1:9" x14ac:dyDescent="0.2">
      <c r="A909">
        <v>4267</v>
      </c>
      <c r="B909" t="s">
        <v>977</v>
      </c>
      <c r="C909" t="s">
        <v>13</v>
      </c>
      <c r="D909" t="s">
        <v>39</v>
      </c>
      <c r="E909" t="s">
        <v>11</v>
      </c>
      <c r="F909" s="1" t="d">
        <v>2024-07-16</v>
      </c>
      <c r="I909" t="str">
        <f>VLOOKUP(D909,Table3[#All],2,FALSE)</f>
        <v>S&amp;D</v>
      </c>
    </row>
    <row r="910" spans="1:9" x14ac:dyDescent="0.2">
      <c r="A910">
        <v>124700</v>
      </c>
      <c r="B910" t="s">
        <v>978</v>
      </c>
      <c r="C910" t="s">
        <v>63</v>
      </c>
      <c r="D910" t="s">
        <v>46</v>
      </c>
      <c r="E910" t="s">
        <v>18</v>
      </c>
      <c r="F910" s="1" t="d">
        <v>2024-07-16</v>
      </c>
      <c r="I910" t="str">
        <f>VLOOKUP(D910,Table3[#All],2,FALSE)</f>
        <v>Renew Europe</v>
      </c>
    </row>
    <row r="911" spans="1:9" x14ac:dyDescent="0.2">
      <c r="A911">
        <v>257130</v>
      </c>
      <c r="B911" t="s">
        <v>979</v>
      </c>
      <c r="C911" t="s">
        <v>25</v>
      </c>
      <c r="D911" t="s">
        <v>20</v>
      </c>
      <c r="E911" t="s">
        <v>11</v>
      </c>
      <c r="F911" s="1" t="d">
        <v>2024-07-16</v>
      </c>
      <c r="I911" t="str">
        <f>VLOOKUP(D911,Table3[#All],2,FALSE)</f>
        <v>Greens/EFA</v>
      </c>
    </row>
    <row r="912" spans="1:9" x14ac:dyDescent="0.2">
      <c r="A912">
        <v>257137</v>
      </c>
      <c r="B912" t="s">
        <v>980</v>
      </c>
      <c r="C912" t="s">
        <v>25</v>
      </c>
      <c r="D912" t="s">
        <v>14</v>
      </c>
      <c r="E912" t="s">
        <v>11</v>
      </c>
      <c r="F912" s="1" t="d">
        <v>2024-07-16</v>
      </c>
      <c r="I912" t="str">
        <f>VLOOKUP(D912,Table3[#All],2,FALSE)</f>
        <v>EPP</v>
      </c>
    </row>
    <row r="913" spans="1:9" x14ac:dyDescent="0.2">
      <c r="A913">
        <v>189525</v>
      </c>
      <c r="B913" t="s">
        <v>981</v>
      </c>
      <c r="C913" t="s">
        <v>16</v>
      </c>
      <c r="D913" t="s">
        <v>29</v>
      </c>
      <c r="E913" t="s">
        <v>11</v>
      </c>
      <c r="F913" s="1" t="d">
        <v>2019-07-02</v>
      </c>
      <c r="G913" s="1" t="d">
        <v>2024-07-15</v>
      </c>
      <c r="I913" t="str">
        <f>VLOOKUP(D913,Table3[#All],2,FALSE)</f>
        <v>EPP</v>
      </c>
    </row>
    <row r="914" spans="1:9" x14ac:dyDescent="0.2">
      <c r="A914">
        <v>256877</v>
      </c>
      <c r="B914" t="s">
        <v>982</v>
      </c>
      <c r="C914" t="s">
        <v>58</v>
      </c>
      <c r="D914" t="s">
        <v>10</v>
      </c>
      <c r="E914" t="s">
        <v>11</v>
      </c>
      <c r="F914" s="1" t="d">
        <v>2024-07-16</v>
      </c>
      <c r="I914" t="str">
        <f>VLOOKUP(D914,Table3[#All],2,FALSE)</f>
        <v>PfE</v>
      </c>
    </row>
    <row r="915" spans="1:9" x14ac:dyDescent="0.2">
      <c r="A915">
        <v>96829</v>
      </c>
      <c r="B915" t="s">
        <v>983</v>
      </c>
      <c r="C915" t="s">
        <v>108</v>
      </c>
      <c r="D915" t="s">
        <v>146</v>
      </c>
      <c r="E915" t="s">
        <v>11</v>
      </c>
      <c r="F915" s="1" t="d">
        <v>2021-03-05</v>
      </c>
      <c r="G915" s="1" t="d">
        <v>2024-07-15</v>
      </c>
      <c r="I915" t="str">
        <f>VLOOKUP(D915,Table3[#All],2,FALSE)</f>
        <v>EPP</v>
      </c>
    </row>
    <row r="916" spans="1:9" x14ac:dyDescent="0.2">
      <c r="A916">
        <v>257149</v>
      </c>
      <c r="B916" t="s">
        <v>984</v>
      </c>
      <c r="C916" t="s">
        <v>25</v>
      </c>
      <c r="D916" t="s">
        <v>17</v>
      </c>
      <c r="E916" t="s">
        <v>11</v>
      </c>
      <c r="F916" s="1" t="d">
        <v>2024-07-16</v>
      </c>
      <c r="I916" t="str">
        <f>VLOOKUP(D916,Table3[#All],2,FALSE)</f>
        <v>ECR</v>
      </c>
    </row>
    <row r="917" spans="1:9" x14ac:dyDescent="0.2">
      <c r="A917">
        <v>254720</v>
      </c>
      <c r="B917" t="s">
        <v>985</v>
      </c>
      <c r="C917" t="s">
        <v>53</v>
      </c>
      <c r="D917" t="s">
        <v>29</v>
      </c>
      <c r="E917" t="s">
        <v>11</v>
      </c>
      <c r="F917" s="1" t="d">
        <v>2024-04-02</v>
      </c>
      <c r="G917" s="1" t="d">
        <v>2024-07-15</v>
      </c>
      <c r="I917" t="str">
        <f>VLOOKUP(D917,Table3[#All],2,FALSE)</f>
        <v>EPP</v>
      </c>
    </row>
    <row r="918" spans="1:9" x14ac:dyDescent="0.2">
      <c r="A918">
        <v>197504</v>
      </c>
      <c r="B918" t="s">
        <v>986</v>
      </c>
      <c r="C918" t="s">
        <v>58</v>
      </c>
      <c r="D918" t="s">
        <v>46</v>
      </c>
      <c r="E918" t="s">
        <v>11</v>
      </c>
      <c r="F918" s="1" t="d">
        <v>2025-10-12</v>
      </c>
      <c r="I918" t="str">
        <f>VLOOKUP(D918,Table3[#All],2,FALSE)</f>
        <v>Renew Europe</v>
      </c>
    </row>
    <row r="919" spans="1:9" x14ac:dyDescent="0.2">
      <c r="A919">
        <v>197806</v>
      </c>
      <c r="B919" t="s">
        <v>987</v>
      </c>
      <c r="C919" t="s">
        <v>25</v>
      </c>
      <c r="D919" t="s">
        <v>112</v>
      </c>
      <c r="E919" t="s">
        <v>11</v>
      </c>
      <c r="F919" s="1" t="d">
        <v>2019-07-02</v>
      </c>
      <c r="G919" s="1" t="d">
        <v>2024-07-15</v>
      </c>
      <c r="I919" t="str">
        <f>VLOOKUP(D919,Table3[#All],2,FALSE)</f>
        <v>ID</v>
      </c>
    </row>
    <row r="920" spans="1:9" x14ac:dyDescent="0.2">
      <c r="A920">
        <v>197576</v>
      </c>
      <c r="B920" t="s">
        <v>988</v>
      </c>
      <c r="C920" t="s">
        <v>58</v>
      </c>
      <c r="D920" t="s">
        <v>207</v>
      </c>
      <c r="E920" t="s">
        <v>11</v>
      </c>
      <c r="F920" s="1" t="d">
        <v>2021-10-19</v>
      </c>
      <c r="G920" s="1" t="d">
        <v>2024-07-15</v>
      </c>
      <c r="I920" t="str">
        <f>VLOOKUP(D920,Table3[#All],2,FALSE)</f>
        <v>Renew Europe</v>
      </c>
    </row>
    <row r="921" spans="1:9" x14ac:dyDescent="0.2">
      <c r="A921">
        <v>197517</v>
      </c>
      <c r="B921" t="s">
        <v>989</v>
      </c>
      <c r="C921" t="s">
        <v>44</v>
      </c>
      <c r="D921" t="s">
        <v>14</v>
      </c>
      <c r="E921" t="s">
        <v>11</v>
      </c>
      <c r="F921" s="1" t="d">
        <v>2024-07-16</v>
      </c>
      <c r="I921" t="str">
        <f>VLOOKUP(D921,Table3[#All],2,FALSE)</f>
        <v>EPP</v>
      </c>
    </row>
    <row r="922" spans="1:9" x14ac:dyDescent="0.2">
      <c r="A922">
        <v>134605</v>
      </c>
      <c r="B922" t="s">
        <v>990</v>
      </c>
      <c r="C922" t="s">
        <v>35</v>
      </c>
      <c r="D922" t="s">
        <v>207</v>
      </c>
      <c r="E922" t="s">
        <v>11</v>
      </c>
      <c r="F922" s="1" t="d">
        <v>2019-07-02</v>
      </c>
      <c r="G922" s="1" t="d">
        <v>2024-07-15</v>
      </c>
      <c r="I922" t="str">
        <f>VLOOKUP(D922,Table3[#All],2,FALSE)</f>
        <v>Renew Europe</v>
      </c>
    </row>
    <row r="923" spans="1:9" x14ac:dyDescent="0.2">
      <c r="A923">
        <v>197697</v>
      </c>
      <c r="B923" t="s">
        <v>991</v>
      </c>
      <c r="C923" t="s">
        <v>58</v>
      </c>
      <c r="D923" t="s">
        <v>39</v>
      </c>
      <c r="E923" t="s">
        <v>11</v>
      </c>
      <c r="F923" s="1" t="d">
        <v>2024-07-16</v>
      </c>
      <c r="I923" t="str">
        <f>VLOOKUP(D923,Table3[#All],2,FALSE)</f>
        <v>S&amp;D</v>
      </c>
    </row>
    <row r="924" spans="1:9" x14ac:dyDescent="0.2">
      <c r="A924">
        <v>256870</v>
      </c>
      <c r="B924" t="s">
        <v>992</v>
      </c>
      <c r="C924" t="s">
        <v>58</v>
      </c>
      <c r="D924" t="s">
        <v>46</v>
      </c>
      <c r="E924" t="s">
        <v>11</v>
      </c>
      <c r="F924" s="1" t="d">
        <v>2024-07-16</v>
      </c>
      <c r="I924" t="str">
        <f>VLOOKUP(D924,Table3[#All],2,FALSE)</f>
        <v>Renew Europe</v>
      </c>
    </row>
    <row r="925" spans="1:9" x14ac:dyDescent="0.2">
      <c r="A925">
        <v>124862</v>
      </c>
      <c r="B925" t="s">
        <v>993</v>
      </c>
      <c r="C925" t="s">
        <v>13</v>
      </c>
      <c r="D925" t="s">
        <v>207</v>
      </c>
      <c r="E925" t="s">
        <v>11</v>
      </c>
      <c r="F925" s="1" t="d">
        <v>2019-07-02</v>
      </c>
      <c r="G925" s="1" t="d">
        <v>2024-07-15</v>
      </c>
      <c r="I925" t="str">
        <f>VLOOKUP(D925,Table3[#All],2,FALSE)</f>
        <v>Renew Europe</v>
      </c>
    </row>
    <row r="926" spans="1:9" x14ac:dyDescent="0.2">
      <c r="A926">
        <v>28288</v>
      </c>
      <c r="B926" t="s">
        <v>994</v>
      </c>
      <c r="C926" t="s">
        <v>44</v>
      </c>
      <c r="D926" t="s">
        <v>29</v>
      </c>
      <c r="E926" t="s">
        <v>51</v>
      </c>
      <c r="F926" s="1" t="d">
        <v>2019-09-17</v>
      </c>
      <c r="G926" s="1" t="d">
        <v>2024-07-15</v>
      </c>
      <c r="I926" t="str">
        <f>VLOOKUP(D926,Table3[#All],2,FALSE)</f>
        <v>EPP</v>
      </c>
    </row>
    <row r="927" spans="1:9" x14ac:dyDescent="0.2">
      <c r="A927">
        <v>39725</v>
      </c>
      <c r="B927" t="s">
        <v>995</v>
      </c>
      <c r="C927" t="s">
        <v>35</v>
      </c>
      <c r="D927" t="s">
        <v>14</v>
      </c>
      <c r="E927" t="s">
        <v>11</v>
      </c>
      <c r="F927" s="1" t="d">
        <v>2024-07-16</v>
      </c>
      <c r="I927" t="str">
        <f>VLOOKUP(D927,Table3[#All],2,FALSE)</f>
        <v>EPP</v>
      </c>
    </row>
    <row r="928" spans="1:9" x14ac:dyDescent="0.2">
      <c r="A928">
        <v>197663</v>
      </c>
      <c r="B928" t="s">
        <v>996</v>
      </c>
      <c r="C928" t="s">
        <v>35</v>
      </c>
      <c r="D928" t="s">
        <v>207</v>
      </c>
      <c r="E928" t="s">
        <v>11</v>
      </c>
      <c r="F928" s="1" t="d">
        <v>2019-07-02</v>
      </c>
      <c r="G928" s="1" t="d">
        <v>2024-07-15</v>
      </c>
      <c r="I928" t="str">
        <f>VLOOKUP(D928,Table3[#All],2,FALSE)</f>
        <v>Renew Europe</v>
      </c>
    </row>
    <row r="929" spans="1:9" x14ac:dyDescent="0.2">
      <c r="A929">
        <v>197836</v>
      </c>
      <c r="B929" t="s">
        <v>997</v>
      </c>
      <c r="C929" t="s">
        <v>16</v>
      </c>
      <c r="D929" t="s">
        <v>29</v>
      </c>
      <c r="E929" t="s">
        <v>11</v>
      </c>
      <c r="F929" s="1" t="d">
        <v>2019-07-02</v>
      </c>
      <c r="G929" s="1" t="d">
        <v>2024-07-15</v>
      </c>
      <c r="I929" t="str">
        <f>VLOOKUP(D929,Table3[#All],2,FALSE)</f>
        <v>EPP</v>
      </c>
    </row>
    <row r="930" spans="1:9" x14ac:dyDescent="0.2">
      <c r="A930">
        <v>237224</v>
      </c>
      <c r="B930" t="s">
        <v>998</v>
      </c>
      <c r="C930" t="s">
        <v>53</v>
      </c>
      <c r="D930" t="s">
        <v>180</v>
      </c>
      <c r="E930" t="s">
        <v>11</v>
      </c>
      <c r="F930" s="1" t="d">
        <v>2022-09-13</v>
      </c>
      <c r="G930" s="1" t="d">
        <v>2024-07-15</v>
      </c>
      <c r="I930" t="str">
        <f>VLOOKUP(D930,Table3[#All],2,FALSE)</f>
        <v>S&amp;D</v>
      </c>
    </row>
    <row r="931" spans="1:9" x14ac:dyDescent="0.2">
      <c r="A931">
        <v>249443</v>
      </c>
      <c r="B931" t="s">
        <v>999</v>
      </c>
      <c r="C931" t="s">
        <v>27</v>
      </c>
      <c r="D931" t="s">
        <v>29</v>
      </c>
      <c r="E931" t="s">
        <v>11</v>
      </c>
      <c r="F931" s="1" t="d">
        <v>2023-10-17</v>
      </c>
      <c r="G931" s="1" t="d">
        <v>2024-07-15</v>
      </c>
      <c r="I931" t="str">
        <f>VLOOKUP(D931,Table3[#All],2,FALSE)</f>
        <v>EPP</v>
      </c>
    </row>
    <row r="932" spans="1:9" x14ac:dyDescent="0.2">
      <c r="A932">
        <v>197492</v>
      </c>
      <c r="B932" t="s">
        <v>1000</v>
      </c>
      <c r="C932" t="s">
        <v>44</v>
      </c>
      <c r="D932" t="s">
        <v>14</v>
      </c>
      <c r="E932" t="s">
        <v>11</v>
      </c>
      <c r="F932" s="1" t="d">
        <v>2024-07-16</v>
      </c>
      <c r="I932" t="str">
        <f>VLOOKUP(D932,Table3[#All],2,FALSE)</f>
        <v>EPP</v>
      </c>
    </row>
    <row r="933" spans="1:9" x14ac:dyDescent="0.2">
      <c r="A933">
        <v>28297</v>
      </c>
      <c r="B933" t="s">
        <v>1001</v>
      </c>
      <c r="C933" t="s">
        <v>44</v>
      </c>
      <c r="D933" t="s">
        <v>80</v>
      </c>
      <c r="E933" t="s">
        <v>11</v>
      </c>
      <c r="F933" s="1" t="d">
        <v>2019-07-02</v>
      </c>
      <c r="G933" s="1" t="d">
        <v>2024-07-15</v>
      </c>
      <c r="I933" t="str">
        <f>VLOOKUP(D933,Table3[#All],2,FALSE)</f>
        <v>ECR</v>
      </c>
    </row>
    <row r="934" spans="1:9" x14ac:dyDescent="0.2">
      <c r="A934">
        <v>124777</v>
      </c>
      <c r="B934" t="s">
        <v>1002</v>
      </c>
      <c r="C934" t="s">
        <v>25</v>
      </c>
      <c r="D934" t="s">
        <v>146</v>
      </c>
      <c r="E934" t="s">
        <v>11</v>
      </c>
      <c r="F934" s="1" t="d">
        <v>2019-07-02</v>
      </c>
      <c r="G934" s="1" t="d">
        <v>2024-07-15</v>
      </c>
      <c r="I934" t="str">
        <f>VLOOKUP(D934,Table3[#All],2,FALSE)</f>
        <v>EPP</v>
      </c>
    </row>
    <row r="935" spans="1:9" x14ac:dyDescent="0.2">
      <c r="A935">
        <v>1992</v>
      </c>
      <c r="B935" t="s">
        <v>1003</v>
      </c>
      <c r="C935" t="s">
        <v>22</v>
      </c>
      <c r="D935" t="s">
        <v>29</v>
      </c>
      <c r="E935" t="s">
        <v>11</v>
      </c>
      <c r="F935" s="1" t="d">
        <v>2019-07-02</v>
      </c>
      <c r="G935" s="1" t="d">
        <v>2024-07-15</v>
      </c>
      <c r="I935" t="str">
        <f>VLOOKUP(D935,Table3[#All],2,FALSE)</f>
        <v>EPP</v>
      </c>
    </row>
    <row r="936" spans="1:9" x14ac:dyDescent="0.2">
      <c r="A936">
        <v>124586</v>
      </c>
      <c r="B936" t="s">
        <v>1004</v>
      </c>
      <c r="C936" t="s">
        <v>108</v>
      </c>
      <c r="D936" t="s">
        <v>146</v>
      </c>
      <c r="E936" t="s">
        <v>11</v>
      </c>
      <c r="F936" s="1" t="d">
        <v>2021-03-05</v>
      </c>
      <c r="G936" s="1" t="d">
        <v>2024-07-15</v>
      </c>
      <c r="I936" t="str">
        <f>VLOOKUP(D936,Table3[#All],2,FALSE)</f>
        <v>EPP</v>
      </c>
    </row>
    <row r="937" spans="1:9" x14ac:dyDescent="0.2">
      <c r="A937">
        <v>124973</v>
      </c>
      <c r="B937" t="s">
        <v>1005</v>
      </c>
      <c r="C937" t="s">
        <v>114</v>
      </c>
      <c r="D937" t="s">
        <v>10</v>
      </c>
      <c r="E937" t="s">
        <v>466</v>
      </c>
      <c r="F937" s="1" t="d">
        <v>2024-07-16</v>
      </c>
      <c r="I937" t="str">
        <f>VLOOKUP(D937,Table3[#All],2,FALSE)</f>
        <v>PfE</v>
      </c>
    </row>
    <row r="938" spans="1:9" x14ac:dyDescent="0.2">
      <c r="A938">
        <v>197838</v>
      </c>
      <c r="B938" t="s">
        <v>1006</v>
      </c>
      <c r="C938" t="s">
        <v>65</v>
      </c>
      <c r="D938" t="s">
        <v>180</v>
      </c>
      <c r="E938" t="s">
        <v>11</v>
      </c>
      <c r="F938" s="1" t="d">
        <v>2019-07-02</v>
      </c>
      <c r="G938" s="1" t="d">
        <v>2024-07-15</v>
      </c>
      <c r="I938" t="str">
        <f>VLOOKUP(D938,Table3[#All],2,FALSE)</f>
        <v>S&amp;D</v>
      </c>
    </row>
    <row r="939" spans="1:9" x14ac:dyDescent="0.2">
      <c r="A939">
        <v>197846</v>
      </c>
      <c r="B939" t="s">
        <v>1007</v>
      </c>
      <c r="C939" t="s">
        <v>16</v>
      </c>
      <c r="D939" t="s">
        <v>180</v>
      </c>
      <c r="E939" t="s">
        <v>11</v>
      </c>
      <c r="F939" s="1" t="d">
        <v>2019-07-02</v>
      </c>
      <c r="G939" s="1" t="d">
        <v>2024-07-15</v>
      </c>
      <c r="I939" t="str">
        <f>VLOOKUP(D939,Table3[#All],2,FALSE)</f>
        <v>S&amp;D</v>
      </c>
    </row>
    <row r="940" spans="1:9" x14ac:dyDescent="0.2">
      <c r="A940">
        <v>197574</v>
      </c>
      <c r="B940" t="s">
        <v>1008</v>
      </c>
      <c r="C940" t="s">
        <v>58</v>
      </c>
      <c r="D940" t="s">
        <v>33</v>
      </c>
      <c r="E940" t="s">
        <v>11</v>
      </c>
      <c r="F940" s="1" t="d">
        <v>2024-07-16</v>
      </c>
      <c r="I940" t="str">
        <f>VLOOKUP(D940,Table3[#All],2,FALSE)</f>
        <v>The Left</v>
      </c>
    </row>
    <row r="941" spans="1:9" x14ac:dyDescent="0.2">
      <c r="A941">
        <v>96750</v>
      </c>
      <c r="B941" t="s">
        <v>1009</v>
      </c>
      <c r="C941" t="s">
        <v>58</v>
      </c>
      <c r="D941" t="s">
        <v>158</v>
      </c>
      <c r="E941" t="s">
        <v>11</v>
      </c>
      <c r="F941" s="1" t="d">
        <v>2019-07-02</v>
      </c>
      <c r="G941" s="1" t="d">
        <v>2024-07-15</v>
      </c>
      <c r="I941" t="str">
        <f>VLOOKUP(D941,Table3[#All],2,FALSE)</f>
        <v>Greens/EFA</v>
      </c>
    </row>
    <row r="942" spans="1:9" x14ac:dyDescent="0.2">
      <c r="A942">
        <v>130833</v>
      </c>
      <c r="B942" t="s">
        <v>1010</v>
      </c>
      <c r="C942" t="s">
        <v>48</v>
      </c>
      <c r="D942" t="s">
        <v>23</v>
      </c>
      <c r="E942" t="s">
        <v>11</v>
      </c>
      <c r="F942" s="1" t="d">
        <v>2020-12-18</v>
      </c>
      <c r="G942" s="1" t="d">
        <v>2024-07-15</v>
      </c>
      <c r="I942" t="str">
        <f>VLOOKUP(D942,Table3[#All],2,FALSE)</f>
        <v>The Left</v>
      </c>
    </row>
    <row r="943" spans="1:9" x14ac:dyDescent="0.2">
      <c r="A943">
        <v>197764</v>
      </c>
      <c r="B943" t="s">
        <v>1011</v>
      </c>
      <c r="C943" t="s">
        <v>191</v>
      </c>
      <c r="D943" t="s">
        <v>146</v>
      </c>
      <c r="E943" t="s">
        <v>11</v>
      </c>
      <c r="F943" s="1" t="d">
        <v>2019-07-02</v>
      </c>
      <c r="G943" s="1" t="d">
        <v>2024-07-15</v>
      </c>
      <c r="I943" t="str">
        <f>VLOOKUP(D943,Table3[#All],2,FALSE)</f>
        <v>EPP</v>
      </c>
    </row>
    <row r="944" spans="1:9" x14ac:dyDescent="0.2">
      <c r="A944">
        <v>251859</v>
      </c>
      <c r="B944" t="s">
        <v>1012</v>
      </c>
      <c r="C944" t="s">
        <v>58</v>
      </c>
      <c r="D944" t="s">
        <v>207</v>
      </c>
      <c r="E944" t="s">
        <v>11</v>
      </c>
      <c r="F944" s="1" t="d">
        <v>2024-01-12</v>
      </c>
      <c r="G944" s="1" t="d">
        <v>2024-07-15</v>
      </c>
      <c r="I944" t="str">
        <f>VLOOKUP(D944,Table3[#All],2,FALSE)</f>
        <v>Renew Europe</v>
      </c>
    </row>
    <row r="945" spans="1:9" x14ac:dyDescent="0.2">
      <c r="A945">
        <v>29579</v>
      </c>
      <c r="B945" t="s">
        <v>1013</v>
      </c>
      <c r="C945" t="s">
        <v>114</v>
      </c>
      <c r="D945" t="s">
        <v>146</v>
      </c>
      <c r="E945" t="s">
        <v>11</v>
      </c>
      <c r="F945" s="1" t="d">
        <v>2023-01-19</v>
      </c>
      <c r="G945" s="1" t="d">
        <v>2024-07-15</v>
      </c>
      <c r="I945" t="str">
        <f>VLOOKUP(D945,Table3[#All],2,FALSE)</f>
        <v>EPP</v>
      </c>
    </row>
    <row r="946" spans="1:9" x14ac:dyDescent="0.2">
      <c r="A946">
        <v>256893</v>
      </c>
      <c r="B946" t="s">
        <v>1014</v>
      </c>
      <c r="C946" t="s">
        <v>58</v>
      </c>
      <c r="D946" t="s">
        <v>10</v>
      </c>
      <c r="E946" t="s">
        <v>11</v>
      </c>
      <c r="F946" s="1" t="d">
        <v>2024-07-16</v>
      </c>
      <c r="I946" t="str">
        <f>VLOOKUP(D946,Table3[#All],2,FALSE)</f>
        <v>PfE</v>
      </c>
    </row>
    <row r="947" spans="1:9" x14ac:dyDescent="0.2">
      <c r="A947">
        <v>129164</v>
      </c>
      <c r="B947" t="s">
        <v>1015</v>
      </c>
      <c r="C947" t="s">
        <v>114</v>
      </c>
      <c r="D947" t="s">
        <v>29</v>
      </c>
      <c r="E947" t="s">
        <v>11</v>
      </c>
      <c r="F947" s="1" t="d">
        <v>2021-01-26</v>
      </c>
      <c r="G947" s="1" t="d">
        <v>2024-07-15</v>
      </c>
      <c r="I947" t="str">
        <f>VLOOKUP(D947,Table3[#All],2,FALSE)</f>
        <v>EPP</v>
      </c>
    </row>
    <row r="948" spans="1:9" x14ac:dyDescent="0.2">
      <c r="A948">
        <v>204416</v>
      </c>
      <c r="B948" t="s">
        <v>1016</v>
      </c>
      <c r="C948" t="s">
        <v>58</v>
      </c>
      <c r="D948" t="s">
        <v>207</v>
      </c>
      <c r="E948" t="s">
        <v>11</v>
      </c>
      <c r="F948" s="1" t="d">
        <v>2020-02-01</v>
      </c>
      <c r="G948" s="1" t="d">
        <v>2024-07-15</v>
      </c>
      <c r="I948" t="str">
        <f>VLOOKUP(D948,Table3[#All],2,FALSE)</f>
        <v>Renew Europe</v>
      </c>
    </row>
    <row r="949" spans="1:9" x14ac:dyDescent="0.2">
      <c r="A949">
        <v>256862</v>
      </c>
      <c r="B949" t="s">
        <v>1017</v>
      </c>
      <c r="C949" t="s">
        <v>108</v>
      </c>
      <c r="D949" t="s">
        <v>14</v>
      </c>
      <c r="E949" t="s">
        <v>11</v>
      </c>
      <c r="F949" s="1" t="d">
        <v>2024-07-16</v>
      </c>
      <c r="I949" t="str">
        <f>VLOOKUP(D949,Table3[#All],2,FALSE)</f>
        <v>EPP</v>
      </c>
    </row>
    <row r="950" spans="1:9" x14ac:dyDescent="0.2">
      <c r="A950">
        <v>197649</v>
      </c>
      <c r="B950" t="s">
        <v>1018</v>
      </c>
      <c r="C950" t="s">
        <v>35</v>
      </c>
      <c r="D950" t="s">
        <v>14</v>
      </c>
      <c r="E950" t="s">
        <v>11</v>
      </c>
      <c r="F950" s="1" t="d">
        <v>2024-07-16</v>
      </c>
      <c r="I950" t="str">
        <f>VLOOKUP(D950,Table3[#All],2,FALSE)</f>
        <v>EPP</v>
      </c>
    </row>
    <row r="951" spans="1:9" x14ac:dyDescent="0.2">
      <c r="A951">
        <v>28161</v>
      </c>
      <c r="B951" t="s">
        <v>1019</v>
      </c>
      <c r="C951" t="s">
        <v>131</v>
      </c>
      <c r="D951" t="s">
        <v>158</v>
      </c>
      <c r="E951" t="s">
        <v>11</v>
      </c>
      <c r="F951" s="1" t="d">
        <v>2019-07-02</v>
      </c>
      <c r="G951" s="1" t="d">
        <v>2024-07-15</v>
      </c>
      <c r="I951" t="str">
        <f>VLOOKUP(D951,Table3[#All],2,FALSE)</f>
        <v>Greens/EFA</v>
      </c>
    </row>
    <row r="952" spans="1:9" x14ac:dyDescent="0.2">
      <c r="A952">
        <v>197577</v>
      </c>
      <c r="B952" t="s">
        <v>1020</v>
      </c>
      <c r="C952" t="s">
        <v>58</v>
      </c>
      <c r="D952" t="s">
        <v>46</v>
      </c>
      <c r="E952" t="s">
        <v>11</v>
      </c>
      <c r="F952" s="1" t="d">
        <v>2024-07-16</v>
      </c>
      <c r="I952" t="str">
        <f>VLOOKUP(D952,Table3[#All],2,FALSE)</f>
        <v>Renew Europe</v>
      </c>
    </row>
    <row r="953" spans="1:9" x14ac:dyDescent="0.2">
      <c r="A953">
        <v>96952</v>
      </c>
      <c r="B953" t="s">
        <v>1021</v>
      </c>
      <c r="C953" t="s">
        <v>58</v>
      </c>
      <c r="D953" t="s">
        <v>180</v>
      </c>
      <c r="E953" t="s">
        <v>11</v>
      </c>
      <c r="F953" s="1" t="d">
        <v>2019-07-02</v>
      </c>
      <c r="G953" s="1" t="d">
        <v>2024-07-15</v>
      </c>
      <c r="I953" t="str">
        <f>VLOOKUP(D953,Table3[#All],2,FALSE)</f>
        <v>S&amp;D</v>
      </c>
    </row>
    <row r="954" spans="1:9" x14ac:dyDescent="0.2">
      <c r="A954">
        <v>257438</v>
      </c>
      <c r="B954" t="s">
        <v>1022</v>
      </c>
      <c r="C954" t="s">
        <v>9</v>
      </c>
      <c r="D954" t="s">
        <v>46</v>
      </c>
      <c r="E954" t="s">
        <v>11</v>
      </c>
      <c r="F954" s="1" t="d">
        <v>2024-07-16</v>
      </c>
      <c r="I954" t="str">
        <f>VLOOKUP(D954,Table3[#All],2,FALSE)</f>
        <v>Renew Europe</v>
      </c>
    </row>
    <row r="955" spans="1:9" x14ac:dyDescent="0.2">
      <c r="A955">
        <v>237779</v>
      </c>
      <c r="B955" t="s">
        <v>1023</v>
      </c>
      <c r="C955" t="s">
        <v>71</v>
      </c>
      <c r="D955" t="s">
        <v>180</v>
      </c>
      <c r="E955" t="s">
        <v>11</v>
      </c>
      <c r="F955" s="1" t="d">
        <v>2022-09-26</v>
      </c>
      <c r="G955" s="1" t="d">
        <v>2024-07-15</v>
      </c>
      <c r="I955" t="str">
        <f>VLOOKUP(D955,Table3[#All],2,FALSE)</f>
        <v>S&amp;D</v>
      </c>
    </row>
    <row r="956" spans="1:9" x14ac:dyDescent="0.2">
      <c r="A956">
        <v>28141</v>
      </c>
      <c r="B956" t="s">
        <v>1024</v>
      </c>
      <c r="C956" t="s">
        <v>108</v>
      </c>
      <c r="D956" t="s">
        <v>146</v>
      </c>
      <c r="E956" t="s">
        <v>11</v>
      </c>
      <c r="F956" s="1" t="d">
        <v>2021-03-05</v>
      </c>
      <c r="G956" s="1" t="d">
        <v>2024-07-15</v>
      </c>
      <c r="I956" t="str">
        <f>VLOOKUP(D956,Table3[#All],2,FALSE)</f>
        <v>EPP</v>
      </c>
    </row>
    <row r="957" spans="1:9" x14ac:dyDescent="0.2">
      <c r="A957">
        <v>197889</v>
      </c>
      <c r="B957" t="s">
        <v>1025</v>
      </c>
      <c r="C957" t="s">
        <v>69</v>
      </c>
      <c r="D957" t="s">
        <v>158</v>
      </c>
      <c r="E957" t="s">
        <v>11</v>
      </c>
      <c r="F957" s="1" t="d">
        <v>2019-07-02</v>
      </c>
      <c r="G957" s="1" t="d">
        <v>2024-07-15</v>
      </c>
      <c r="I957" t="str">
        <f>VLOOKUP(D957,Table3[#All],2,FALSE)</f>
        <v>Greens/EFA</v>
      </c>
    </row>
    <row r="958" spans="1:9" x14ac:dyDescent="0.2">
      <c r="A958">
        <v>197418</v>
      </c>
      <c r="B958" t="s">
        <v>1026</v>
      </c>
      <c r="C958" t="s">
        <v>314</v>
      </c>
      <c r="D958" t="s">
        <v>207</v>
      </c>
      <c r="E958" t="s">
        <v>11</v>
      </c>
      <c r="F958" s="1" t="d">
        <v>2019-07-02</v>
      </c>
      <c r="G958" s="1" t="d">
        <v>2024-07-15</v>
      </c>
      <c r="I958" t="str">
        <f>VLOOKUP(D958,Table3[#All],2,FALSE)</f>
        <v>Renew Europe</v>
      </c>
    </row>
    <row r="959" spans="1:9" x14ac:dyDescent="0.2">
      <c r="A959">
        <v>124714</v>
      </c>
      <c r="B959" t="s">
        <v>1027</v>
      </c>
      <c r="C959" t="s">
        <v>108</v>
      </c>
      <c r="D959" t="s">
        <v>146</v>
      </c>
      <c r="E959" t="s">
        <v>11</v>
      </c>
      <c r="F959" s="1" t="d">
        <v>2021-03-05</v>
      </c>
      <c r="G959" s="1" t="d">
        <v>2024-07-15</v>
      </c>
      <c r="I959" t="str">
        <f>VLOOKUP(D959,Table3[#All],2,FALSE)</f>
        <v>EPP</v>
      </c>
    </row>
    <row r="960" spans="1:9" x14ac:dyDescent="0.2">
      <c r="A960">
        <v>125043</v>
      </c>
      <c r="B960" t="s">
        <v>1028</v>
      </c>
      <c r="C960" t="s">
        <v>22</v>
      </c>
      <c r="D960" t="s">
        <v>180</v>
      </c>
      <c r="E960" t="s">
        <v>11</v>
      </c>
      <c r="F960" s="1" t="d">
        <v>2019-07-02</v>
      </c>
      <c r="G960" s="1" t="d">
        <v>2024-07-15</v>
      </c>
      <c r="I960" t="str">
        <f>VLOOKUP(D960,Table3[#All],2,FALSE)</f>
        <v>S&amp;D</v>
      </c>
    </row>
    <row r="961" spans="1:9" x14ac:dyDescent="0.2">
      <c r="A961">
        <v>197868</v>
      </c>
      <c r="B961" t="s">
        <v>1029</v>
      </c>
      <c r="C961" t="s">
        <v>9</v>
      </c>
      <c r="D961" t="s">
        <v>207</v>
      </c>
      <c r="E961" t="s">
        <v>11</v>
      </c>
      <c r="F961" s="1" t="d">
        <v>2019-07-02</v>
      </c>
      <c r="G961" s="1" t="d">
        <v>2024-07-15</v>
      </c>
      <c r="I961" t="str">
        <f>VLOOKUP(D961,Table3[#All],2,FALSE)</f>
        <v>Renew Europe</v>
      </c>
    </row>
    <row r="962" spans="1:9" x14ac:dyDescent="0.2">
      <c r="A962">
        <v>197787</v>
      </c>
      <c r="B962" t="s">
        <v>1030</v>
      </c>
      <c r="C962" t="s">
        <v>25</v>
      </c>
      <c r="D962" t="s">
        <v>112</v>
      </c>
      <c r="E962" t="s">
        <v>11</v>
      </c>
      <c r="F962" s="1" t="d">
        <v>2019-07-02</v>
      </c>
      <c r="G962" s="1" t="d">
        <v>2024-07-15</v>
      </c>
      <c r="I962" t="str">
        <f>VLOOKUP(D962,Table3[#All],2,FALSE)</f>
        <v>ID</v>
      </c>
    </row>
    <row r="963" spans="1:9" x14ac:dyDescent="0.2">
      <c r="A963">
        <v>240478</v>
      </c>
      <c r="B963" t="s">
        <v>1031</v>
      </c>
      <c r="C963" t="s">
        <v>25</v>
      </c>
      <c r="D963" t="s">
        <v>180</v>
      </c>
      <c r="E963" t="s">
        <v>11</v>
      </c>
      <c r="F963" s="1" t="d">
        <v>2022-12-06</v>
      </c>
      <c r="G963" s="1" t="d">
        <v>2024-07-15</v>
      </c>
      <c r="I963" t="str">
        <f>VLOOKUP(D963,Table3[#All],2,FALSE)</f>
        <v>S&amp;D</v>
      </c>
    </row>
    <row r="964" spans="1:9" x14ac:dyDescent="0.2">
      <c r="A964">
        <v>256909</v>
      </c>
      <c r="B964" t="s">
        <v>1032</v>
      </c>
      <c r="C964" t="s">
        <v>61</v>
      </c>
      <c r="D964" t="s">
        <v>10</v>
      </c>
      <c r="E964" t="s">
        <v>18</v>
      </c>
      <c r="F964" s="1" t="d">
        <v>2024-07-16</v>
      </c>
      <c r="I964" t="str">
        <f>VLOOKUP(D964,Table3[#All],2,FALSE)</f>
        <v>PfE</v>
      </c>
    </row>
    <row r="965" spans="1:9" x14ac:dyDescent="0.2">
      <c r="A965">
        <v>125020</v>
      </c>
      <c r="B965" t="s">
        <v>1033</v>
      </c>
      <c r="C965" t="s">
        <v>9</v>
      </c>
      <c r="D965" t="s">
        <v>180</v>
      </c>
      <c r="E965" t="s">
        <v>11</v>
      </c>
      <c r="F965" s="1" t="d">
        <v>2019-07-02</v>
      </c>
      <c r="G965" s="1" t="d">
        <v>2024-07-15</v>
      </c>
      <c r="I965" t="str">
        <f>VLOOKUP(D965,Table3[#All],2,FALSE)</f>
        <v>S&amp;D</v>
      </c>
    </row>
    <row r="966" spans="1:9" x14ac:dyDescent="0.2">
      <c r="A966">
        <v>197518</v>
      </c>
      <c r="B966" t="s">
        <v>1034</v>
      </c>
      <c r="C966" t="s">
        <v>44</v>
      </c>
      <c r="D966" t="s">
        <v>80</v>
      </c>
      <c r="E966" t="s">
        <v>11</v>
      </c>
      <c r="F966" s="1" t="d">
        <v>2019-07-02</v>
      </c>
      <c r="G966" s="1" t="d">
        <v>2024-07-15</v>
      </c>
      <c r="I966" t="str">
        <f>VLOOKUP(D966,Table3[#All],2,FALSE)</f>
        <v>ECR</v>
      </c>
    </row>
    <row r="967" spans="1:9" x14ac:dyDescent="0.2">
      <c r="A967">
        <v>103246</v>
      </c>
      <c r="B967" t="s">
        <v>1035</v>
      </c>
      <c r="C967" t="s">
        <v>9</v>
      </c>
      <c r="D967" t="s">
        <v>10</v>
      </c>
      <c r="E967" t="s">
        <v>11</v>
      </c>
      <c r="F967" s="1" t="d">
        <v>2024-07-16</v>
      </c>
      <c r="I967" t="str">
        <f>VLOOKUP(D967,Table3[#All],2,FALSE)</f>
        <v>PfE</v>
      </c>
    </row>
    <row r="968" spans="1:9" x14ac:dyDescent="0.2">
      <c r="A968">
        <v>257035</v>
      </c>
      <c r="B968" t="s">
        <v>1036</v>
      </c>
      <c r="C968" t="s">
        <v>22</v>
      </c>
      <c r="D968" t="s">
        <v>14</v>
      </c>
      <c r="E968" t="s">
        <v>11</v>
      </c>
      <c r="F968" s="1" t="d">
        <v>2024-07-16</v>
      </c>
      <c r="I968" t="str">
        <f>VLOOKUP(D968,Table3[#All],2,FALSE)</f>
        <v>EPP</v>
      </c>
    </row>
    <row r="969" spans="1:9" x14ac:dyDescent="0.2">
      <c r="A969">
        <v>204334</v>
      </c>
      <c r="B969" t="s">
        <v>1037</v>
      </c>
      <c r="C969" t="s">
        <v>25</v>
      </c>
      <c r="D969" t="s">
        <v>80</v>
      </c>
      <c r="E969" t="s">
        <v>11</v>
      </c>
      <c r="F969" s="1" t="d">
        <v>2021-02-23</v>
      </c>
      <c r="G969" s="1" t="d">
        <v>2024-07-15</v>
      </c>
      <c r="I969" t="str">
        <f>VLOOKUP(D969,Table3[#All],2,FALSE)</f>
        <v>ECR</v>
      </c>
    </row>
    <row r="970" spans="1:9" x14ac:dyDescent="0.2">
      <c r="A970">
        <v>256973</v>
      </c>
      <c r="B970" t="s">
        <v>1038</v>
      </c>
      <c r="C970" t="s">
        <v>13</v>
      </c>
      <c r="D970" t="s">
        <v>14</v>
      </c>
      <c r="E970" t="s">
        <v>11</v>
      </c>
      <c r="F970" s="1" t="d">
        <v>2024-07-16</v>
      </c>
      <c r="I970" t="str">
        <f>VLOOKUP(D970,Table3[#All],2,FALSE)</f>
        <v>EPP</v>
      </c>
    </row>
    <row r="971" spans="1:9" x14ac:dyDescent="0.2">
      <c r="A971">
        <v>197808</v>
      </c>
      <c r="B971" t="s">
        <v>1039</v>
      </c>
      <c r="C971" t="s">
        <v>25</v>
      </c>
      <c r="D971" t="s">
        <v>180</v>
      </c>
      <c r="E971" t="s">
        <v>11</v>
      </c>
      <c r="F971" s="1" t="d">
        <v>2019-07-02</v>
      </c>
      <c r="G971" s="1" t="d">
        <v>2024-07-15</v>
      </c>
      <c r="I971" t="str">
        <f>VLOOKUP(D971,Table3[#All],2,FALSE)</f>
        <v>S&amp;D</v>
      </c>
    </row>
    <row r="972" spans="1:9" x14ac:dyDescent="0.2">
      <c r="A972">
        <v>197626</v>
      </c>
      <c r="B972" t="s">
        <v>1040</v>
      </c>
      <c r="C972" t="s">
        <v>58</v>
      </c>
      <c r="D972" t="s">
        <v>146</v>
      </c>
      <c r="E972" t="s">
        <v>11</v>
      </c>
      <c r="F972" s="1" t="d">
        <v>2022-11-10</v>
      </c>
      <c r="G972" s="1" t="d">
        <v>2024-07-15</v>
      </c>
      <c r="I972" t="str">
        <f>VLOOKUP(D972,Table3[#All],2,FALSE)</f>
        <v>EPP</v>
      </c>
    </row>
    <row r="973" spans="1:9" x14ac:dyDescent="0.2">
      <c r="A973">
        <v>228286</v>
      </c>
      <c r="B973" t="s">
        <v>1041</v>
      </c>
      <c r="C973" t="s">
        <v>13</v>
      </c>
      <c r="D973" t="s">
        <v>180</v>
      </c>
      <c r="E973" t="s">
        <v>11</v>
      </c>
      <c r="F973" s="1" t="d">
        <v>2022-01-11</v>
      </c>
      <c r="G973" s="1" t="d">
        <v>2024-07-15</v>
      </c>
      <c r="I973" t="str">
        <f>VLOOKUP(D973,Table3[#All],2,FALSE)</f>
        <v>S&amp;D</v>
      </c>
    </row>
    <row r="974" spans="1:9" x14ac:dyDescent="0.2">
      <c r="A974">
        <v>253043</v>
      </c>
      <c r="B974" t="s">
        <v>1042</v>
      </c>
      <c r="C974" t="s">
        <v>9</v>
      </c>
      <c r="D974" t="s">
        <v>29</v>
      </c>
      <c r="E974" t="s">
        <v>11</v>
      </c>
      <c r="F974" s="1" t="d">
        <v>2024-02-27</v>
      </c>
      <c r="G974" s="1" t="d">
        <v>2024-07-15</v>
      </c>
      <c r="I974" t="str">
        <f>VLOOKUP(D974,Table3[#All],2,FALSE)</f>
        <v>EPP</v>
      </c>
    </row>
    <row r="975" spans="1:9" x14ac:dyDescent="0.2">
      <c r="A975">
        <v>199941</v>
      </c>
      <c r="B975" t="s">
        <v>1043</v>
      </c>
      <c r="C975" t="s">
        <v>131</v>
      </c>
      <c r="D975" t="s">
        <v>39</v>
      </c>
      <c r="E975" t="s">
        <v>11</v>
      </c>
      <c r="F975" s="1" t="d">
        <v>2024-07-16</v>
      </c>
      <c r="I975" t="str">
        <f>VLOOKUP(D975,Table3[#All],2,FALSE)</f>
        <v>S&amp;D</v>
      </c>
    </row>
    <row r="976" spans="1:9" x14ac:dyDescent="0.2">
      <c r="A976">
        <v>197801</v>
      </c>
      <c r="B976" t="s">
        <v>1044</v>
      </c>
      <c r="C976" t="s">
        <v>25</v>
      </c>
      <c r="D976" t="s">
        <v>180</v>
      </c>
      <c r="E976" t="s">
        <v>11</v>
      </c>
      <c r="F976" s="1" t="d">
        <v>2019-07-02</v>
      </c>
      <c r="G976" s="1" t="d">
        <v>2024-07-15</v>
      </c>
      <c r="I976" t="str">
        <f>VLOOKUP(D976,Table3[#All],2,FALSE)</f>
        <v>S&amp;D</v>
      </c>
    </row>
    <row r="977" spans="1:9" x14ac:dyDescent="0.2">
      <c r="A977">
        <v>197608</v>
      </c>
      <c r="B977" t="s">
        <v>1045</v>
      </c>
      <c r="C977" t="s">
        <v>25</v>
      </c>
      <c r="D977" t="s">
        <v>112</v>
      </c>
      <c r="E977" t="s">
        <v>11</v>
      </c>
      <c r="F977" s="1" t="d">
        <v>2019-07-02</v>
      </c>
      <c r="G977" s="1" t="d">
        <v>2024-07-15</v>
      </c>
      <c r="I977" t="str">
        <f>VLOOKUP(D977,Table3[#All],2,FALSE)</f>
        <v>ID</v>
      </c>
    </row>
    <row r="978" spans="1:9" x14ac:dyDescent="0.2">
      <c r="A978">
        <v>198096</v>
      </c>
      <c r="B978" t="s">
        <v>1046</v>
      </c>
      <c r="C978" t="s">
        <v>22</v>
      </c>
      <c r="D978" t="s">
        <v>80</v>
      </c>
      <c r="E978" t="s">
        <v>11</v>
      </c>
      <c r="F978" s="1" t="d">
        <v>2020-03-04</v>
      </c>
      <c r="G978" s="1" t="d">
        <v>2024-07-15</v>
      </c>
      <c r="I978" t="str">
        <f>VLOOKUP(D978,Table3[#All],2,FALSE)</f>
        <v>ECR</v>
      </c>
    </row>
    <row r="979" spans="1:9" x14ac:dyDescent="0.2">
      <c r="A979">
        <v>257075</v>
      </c>
      <c r="B979" t="s">
        <v>1047</v>
      </c>
      <c r="C979" t="s">
        <v>53</v>
      </c>
      <c r="D979" t="s">
        <v>39</v>
      </c>
      <c r="E979" t="s">
        <v>11</v>
      </c>
      <c r="F979" s="1" t="d">
        <v>2024-07-16</v>
      </c>
      <c r="I979" t="str">
        <f>VLOOKUP(D979,Table3[#All],2,FALSE)</f>
        <v>S&amp;D</v>
      </c>
    </row>
    <row r="980" spans="1:9" x14ac:dyDescent="0.2">
      <c r="A980">
        <v>197779</v>
      </c>
      <c r="B980" t="s">
        <v>1048</v>
      </c>
      <c r="C980" t="s">
        <v>22</v>
      </c>
      <c r="D980" t="s">
        <v>207</v>
      </c>
      <c r="E980" t="s">
        <v>11</v>
      </c>
      <c r="F980" s="1" t="d">
        <v>2019-07-02</v>
      </c>
      <c r="G980" s="1" t="d">
        <v>2024-07-15</v>
      </c>
      <c r="I980" t="str">
        <f>VLOOKUP(D980,Table3[#All],2,FALSE)</f>
        <v>Renew Europe</v>
      </c>
    </row>
    <row r="981" spans="1:9" x14ac:dyDescent="0.2">
      <c r="A981">
        <v>197777</v>
      </c>
      <c r="B981" t="s">
        <v>1049</v>
      </c>
      <c r="C981" t="s">
        <v>22</v>
      </c>
      <c r="D981" t="s">
        <v>29</v>
      </c>
      <c r="E981" t="s">
        <v>11</v>
      </c>
      <c r="F981" s="1" t="d">
        <v>2019-07-02</v>
      </c>
      <c r="G981" s="1" t="d">
        <v>2024-07-15</v>
      </c>
      <c r="I981" t="str">
        <f>VLOOKUP(D981,Table3[#All],2,FALSE)</f>
        <v>EPP</v>
      </c>
    </row>
    <row r="982" spans="1:9" x14ac:dyDescent="0.2">
      <c r="A982">
        <v>190774</v>
      </c>
      <c r="B982" t="s">
        <v>1050</v>
      </c>
      <c r="C982" t="s">
        <v>58</v>
      </c>
      <c r="D982" t="s">
        <v>29</v>
      </c>
      <c r="E982" t="s">
        <v>11</v>
      </c>
      <c r="F982" s="1" t="d">
        <v>2019-07-02</v>
      </c>
      <c r="G982" s="1" t="d">
        <v>2024-07-15</v>
      </c>
      <c r="I982" t="str">
        <f>VLOOKUP(D982,Table3[#All],2,FALSE)</f>
        <v>EPP</v>
      </c>
    </row>
    <row r="983" spans="1:9" x14ac:dyDescent="0.2">
      <c r="A983">
        <v>197586</v>
      </c>
      <c r="B983" t="s">
        <v>1051</v>
      </c>
      <c r="C983" t="s">
        <v>25</v>
      </c>
      <c r="D983" t="s">
        <v>29</v>
      </c>
      <c r="E983" t="s">
        <v>11</v>
      </c>
      <c r="F983" s="1" t="d">
        <v>2023-10-19</v>
      </c>
      <c r="G983" s="1" t="d">
        <v>2024-07-15</v>
      </c>
      <c r="I983" t="str">
        <f>VLOOKUP(D983,Table3[#All],2,FALSE)</f>
        <v>EPP</v>
      </c>
    </row>
    <row r="984" spans="1:9" x14ac:dyDescent="0.2">
      <c r="A984">
        <v>197495</v>
      </c>
      <c r="B984" t="s">
        <v>1052</v>
      </c>
      <c r="C984" t="s">
        <v>44</v>
      </c>
      <c r="D984" t="s">
        <v>180</v>
      </c>
      <c r="E984" t="s">
        <v>11</v>
      </c>
      <c r="F984" s="1" t="d">
        <v>2019-07-02</v>
      </c>
      <c r="G984" s="1" t="d">
        <v>2024-07-15</v>
      </c>
      <c r="I984" t="str">
        <f>VLOOKUP(D984,Table3[#All],2,FALSE)</f>
        <v>S&amp;D</v>
      </c>
    </row>
    <row r="985" spans="1:9" x14ac:dyDescent="0.2">
      <c r="A985">
        <v>27714</v>
      </c>
      <c r="B985" t="s">
        <v>1053</v>
      </c>
      <c r="C985" t="s">
        <v>108</v>
      </c>
      <c r="D985" t="s">
        <v>146</v>
      </c>
      <c r="E985" t="s">
        <v>11</v>
      </c>
      <c r="F985" s="1" t="d">
        <v>2021-03-05</v>
      </c>
      <c r="G985" s="1" t="d">
        <v>2024-07-15</v>
      </c>
      <c r="I985" t="str">
        <f>VLOOKUP(D985,Table3[#All],2,FALSE)</f>
        <v>EPP</v>
      </c>
    </row>
    <row r="986" spans="1:9" x14ac:dyDescent="0.2">
      <c r="A986">
        <v>257107</v>
      </c>
      <c r="B986" t="s">
        <v>1054</v>
      </c>
      <c r="C986" t="s">
        <v>35</v>
      </c>
      <c r="D986" t="s">
        <v>14</v>
      </c>
      <c r="E986" t="s">
        <v>11</v>
      </c>
      <c r="F986" s="1" t="d">
        <v>2024-07-16</v>
      </c>
      <c r="I986" t="str">
        <f>VLOOKUP(D986,Table3[#All],2,FALSE)</f>
        <v>EPP</v>
      </c>
    </row>
    <row r="987" spans="1:9" x14ac:dyDescent="0.2">
      <c r="A987">
        <v>96837</v>
      </c>
      <c r="B987" t="s">
        <v>1055</v>
      </c>
      <c r="C987" t="s">
        <v>13</v>
      </c>
      <c r="D987" t="s">
        <v>180</v>
      </c>
      <c r="E987" t="s">
        <v>11</v>
      </c>
      <c r="F987" s="1" t="d">
        <v>2019-07-02</v>
      </c>
      <c r="G987" s="1" t="d">
        <v>2024-07-15</v>
      </c>
      <c r="I987" t="str">
        <f>VLOOKUP(D987,Table3[#All],2,FALSE)</f>
        <v>S&amp;D</v>
      </c>
    </row>
    <row r="988" spans="1:9" x14ac:dyDescent="0.2">
      <c r="A988">
        <v>1287</v>
      </c>
      <c r="B988" t="s">
        <v>1056</v>
      </c>
      <c r="C988" t="s">
        <v>69</v>
      </c>
      <c r="D988" t="s">
        <v>1057</v>
      </c>
      <c r="E988" t="s">
        <v>18</v>
      </c>
      <c r="F988" s="1" t="d">
        <v>2002-03-07</v>
      </c>
      <c r="G988" s="1" t="d">
        <v>2004-07-19</v>
      </c>
      <c r="I988" t="str">
        <f>VLOOKUP(D988,Table3[#All],2,FALSE)</f>
        <v>Renew Europe</v>
      </c>
    </row>
    <row r="989" spans="1:9" x14ac:dyDescent="0.2">
      <c r="A989">
        <v>239256</v>
      </c>
      <c r="B989" t="s">
        <v>1058</v>
      </c>
      <c r="C989" t="s">
        <v>25</v>
      </c>
      <c r="D989" t="s">
        <v>112</v>
      </c>
      <c r="E989" t="s">
        <v>11</v>
      </c>
      <c r="F989" s="1" t="d">
        <v>2022-11-02</v>
      </c>
      <c r="G989" s="1" t="d">
        <v>2024-07-15</v>
      </c>
      <c r="I989" t="str">
        <f>VLOOKUP(D989,Table3[#All],2,FALSE)</f>
        <v>ID</v>
      </c>
    </row>
    <row r="990" spans="1:9" x14ac:dyDescent="0.2">
      <c r="A990">
        <v>197651</v>
      </c>
      <c r="B990" t="s">
        <v>1059</v>
      </c>
      <c r="C990" t="s">
        <v>35</v>
      </c>
      <c r="D990" t="s">
        <v>180</v>
      </c>
      <c r="E990" t="s">
        <v>11</v>
      </c>
      <c r="F990" s="1" t="d">
        <v>2019-07-02</v>
      </c>
      <c r="G990" s="1" t="d">
        <v>2024-07-15</v>
      </c>
      <c r="I990" t="str">
        <f>VLOOKUP(D990,Table3[#All],2,FALSE)</f>
        <v>S&amp;D</v>
      </c>
    </row>
    <row r="991" spans="1:9" x14ac:dyDescent="0.2">
      <c r="A991">
        <v>198329</v>
      </c>
      <c r="B991" t="s">
        <v>1060</v>
      </c>
      <c r="C991" t="s">
        <v>22</v>
      </c>
      <c r="D991" t="s">
        <v>180</v>
      </c>
      <c r="E991" t="s">
        <v>11</v>
      </c>
      <c r="F991" s="1" t="d">
        <v>2019-07-02</v>
      </c>
      <c r="G991" s="1" t="d">
        <v>2024-07-15</v>
      </c>
      <c r="I991" t="str">
        <f>VLOOKUP(D991,Table3[#All],2,FALSE)</f>
        <v>S&amp;D</v>
      </c>
    </row>
    <row r="992" spans="1:9" x14ac:dyDescent="0.2">
      <c r="A992">
        <v>239271</v>
      </c>
      <c r="B992" t="s">
        <v>1061</v>
      </c>
      <c r="C992" t="s">
        <v>85</v>
      </c>
      <c r="D992" t="s">
        <v>29</v>
      </c>
      <c r="E992" t="s">
        <v>11</v>
      </c>
      <c r="F992" s="1" t="d">
        <v>2022-11-02</v>
      </c>
      <c r="G992" s="1" t="d">
        <v>2024-07-15</v>
      </c>
      <c r="I992" t="str">
        <f>VLOOKUP(D992,Table3[#All],2,FALSE)</f>
        <v>EPP</v>
      </c>
    </row>
    <row r="993" spans="1:9" x14ac:dyDescent="0.2">
      <c r="A993">
        <v>34578</v>
      </c>
      <c r="B993" t="s">
        <v>1062</v>
      </c>
      <c r="C993" t="s">
        <v>191</v>
      </c>
      <c r="D993" t="s">
        <v>180</v>
      </c>
      <c r="E993" t="s">
        <v>11</v>
      </c>
      <c r="F993" s="1" t="d">
        <v>2019-07-02</v>
      </c>
      <c r="G993" s="1" t="d">
        <v>2024-07-15</v>
      </c>
      <c r="I993" t="str">
        <f>VLOOKUP(D993,Table3[#All],2,FALSE)</f>
        <v>S&amp;D</v>
      </c>
    </row>
    <row r="994" spans="1:9" x14ac:dyDescent="0.2">
      <c r="A994">
        <v>197544</v>
      </c>
      <c r="B994" t="s">
        <v>1063</v>
      </c>
      <c r="C994" t="s">
        <v>44</v>
      </c>
      <c r="D994" t="s">
        <v>80</v>
      </c>
      <c r="E994" t="s">
        <v>11</v>
      </c>
      <c r="F994" s="1" t="d">
        <v>2019-07-02</v>
      </c>
      <c r="G994" s="1" t="d">
        <v>2024-07-15</v>
      </c>
      <c r="I994" t="str">
        <f>VLOOKUP(D994,Table3[#All],2,FALSE)</f>
        <v>ECR</v>
      </c>
    </row>
    <row r="995" spans="1:9" x14ac:dyDescent="0.2">
      <c r="A995">
        <v>197532</v>
      </c>
      <c r="B995" t="s">
        <v>1064</v>
      </c>
      <c r="C995" t="s">
        <v>44</v>
      </c>
      <c r="D995" t="s">
        <v>80</v>
      </c>
      <c r="E995" t="s">
        <v>11</v>
      </c>
      <c r="F995" s="1" t="d">
        <v>2019-07-02</v>
      </c>
      <c r="G995" s="1" t="d">
        <v>2024-07-15</v>
      </c>
      <c r="I995" t="str">
        <f>VLOOKUP(D995,Table3[#All],2,FALSE)</f>
        <v>ECR</v>
      </c>
    </row>
    <row r="996" spans="1:9" x14ac:dyDescent="0.2">
      <c r="A996">
        <v>197481</v>
      </c>
      <c r="B996" t="s">
        <v>1065</v>
      </c>
      <c r="C996" t="s">
        <v>13</v>
      </c>
      <c r="D996" t="s">
        <v>49</v>
      </c>
      <c r="E996" t="s">
        <v>11</v>
      </c>
      <c r="F996" s="1" t="d">
        <v>2024-07-16</v>
      </c>
      <c r="G996" s="1" t="d">
        <v>2025-03-24</v>
      </c>
      <c r="I996" t="str">
        <f>VLOOKUP(D996,Table3[#All],2,FALSE)</f>
        <v>Non-attached</v>
      </c>
    </row>
    <row r="997" spans="1:9" x14ac:dyDescent="0.2">
      <c r="A997">
        <v>257042</v>
      </c>
      <c r="B997" t="s">
        <v>1066</v>
      </c>
      <c r="C997" t="s">
        <v>44</v>
      </c>
      <c r="D997" t="s">
        <v>14</v>
      </c>
      <c r="E997" t="s">
        <v>11</v>
      </c>
      <c r="F997" s="1" t="d">
        <v>2024-07-16</v>
      </c>
      <c r="G997" s="1" t="d">
        <v>2024-09-25</v>
      </c>
      <c r="I997" t="str">
        <f>VLOOKUP(D997,Table3[#All],2,FALSE)</f>
        <v>EPP</v>
      </c>
    </row>
    <row r="998" spans="1:9" x14ac:dyDescent="0.2">
      <c r="A998">
        <v>212855</v>
      </c>
      <c r="B998" t="s">
        <v>1067</v>
      </c>
      <c r="C998" t="s">
        <v>35</v>
      </c>
      <c r="D998" t="s">
        <v>207</v>
      </c>
      <c r="E998" t="s">
        <v>11</v>
      </c>
      <c r="F998" s="1" t="d">
        <v>2020-12-28</v>
      </c>
      <c r="G998" s="1" t="d">
        <v>2024-07-15</v>
      </c>
      <c r="I998" t="str">
        <f>VLOOKUP(D998,Table3[#All],2,FALSE)</f>
        <v>Renew Europe</v>
      </c>
    </row>
    <row r="999" spans="1:9" x14ac:dyDescent="0.2">
      <c r="A999">
        <v>197657</v>
      </c>
      <c r="B999" t="s">
        <v>1068</v>
      </c>
      <c r="C999" t="s">
        <v>35</v>
      </c>
      <c r="D999" t="s">
        <v>146</v>
      </c>
      <c r="E999" t="s">
        <v>11</v>
      </c>
      <c r="F999" s="1" t="d">
        <v>2024-02-23</v>
      </c>
      <c r="G999" s="1" t="d">
        <v>2024-07-15</v>
      </c>
      <c r="I999" t="str">
        <f>VLOOKUP(D999,Table3[#All],2,FALSE)</f>
        <v>EPP</v>
      </c>
    </row>
    <row r="1000" spans="1:9" x14ac:dyDescent="0.2">
      <c r="A1000">
        <v>197546</v>
      </c>
      <c r="B1000" t="s">
        <v>1069</v>
      </c>
      <c r="C1000" t="s">
        <v>41</v>
      </c>
      <c r="D1000" t="s">
        <v>158</v>
      </c>
      <c r="E1000" t="s">
        <v>11</v>
      </c>
      <c r="F1000" s="1" t="d">
        <v>2019-07-02</v>
      </c>
      <c r="G1000" s="1" t="d">
        <v>2024-07-15</v>
      </c>
      <c r="I1000" t="str">
        <f>VLOOKUP(D1000,Table3[#All],2,FALSE)</f>
        <v>Greens/EFA</v>
      </c>
    </row>
    <row r="1001" spans="1:9" x14ac:dyDescent="0.2">
      <c r="A1001">
        <v>23781</v>
      </c>
      <c r="B1001" t="s">
        <v>1070</v>
      </c>
      <c r="C1001" t="s">
        <v>44</v>
      </c>
      <c r="D1001" t="s">
        <v>14</v>
      </c>
      <c r="E1001" t="s">
        <v>11</v>
      </c>
      <c r="F1001" s="1" t="d">
        <v>2024-07-16</v>
      </c>
      <c r="I1001" t="str">
        <f>VLOOKUP(D1001,Table3[#All],2,FALSE)</f>
        <v>EPP</v>
      </c>
    </row>
    <row r="1002" spans="1:9" x14ac:dyDescent="0.2">
      <c r="A1002">
        <v>197844</v>
      </c>
      <c r="B1002" t="s">
        <v>1071</v>
      </c>
      <c r="C1002" t="s">
        <v>16</v>
      </c>
      <c r="D1002" t="s">
        <v>180</v>
      </c>
      <c r="E1002" t="s">
        <v>11</v>
      </c>
      <c r="F1002" s="1" t="d">
        <v>2019-07-02</v>
      </c>
      <c r="G1002" s="1" t="d">
        <v>2024-07-15</v>
      </c>
      <c r="I1002" t="str">
        <f>VLOOKUP(D1002,Table3[#All],2,FALSE)</f>
        <v>S&amp;D</v>
      </c>
    </row>
    <row r="1003" spans="1:9" x14ac:dyDescent="0.2">
      <c r="A1003">
        <v>256906</v>
      </c>
      <c r="B1003" t="s">
        <v>1072</v>
      </c>
      <c r="C1003" t="s">
        <v>58</v>
      </c>
      <c r="D1003" t="s">
        <v>39</v>
      </c>
      <c r="E1003" t="s">
        <v>11</v>
      </c>
      <c r="F1003" s="1" t="d">
        <v>2024-07-16</v>
      </c>
      <c r="I1003" t="str">
        <f>VLOOKUP(D1003,Table3[#All],2,FALSE)</f>
        <v>S&amp;D</v>
      </c>
    </row>
    <row r="1004" spans="1:9" x14ac:dyDescent="0.2">
      <c r="A1004">
        <v>193273</v>
      </c>
      <c r="B1004" t="s">
        <v>1073</v>
      </c>
      <c r="C1004" t="s">
        <v>13</v>
      </c>
      <c r="D1004" t="s">
        <v>158</v>
      </c>
      <c r="E1004" t="s">
        <v>11</v>
      </c>
      <c r="F1004" s="1" t="d">
        <v>2019-07-02</v>
      </c>
      <c r="G1004" s="1" t="d">
        <v>2024-07-15</v>
      </c>
      <c r="I1004" t="str">
        <f>VLOOKUP(D1004,Table3[#All],2,FALSE)</f>
        <v>Greens/EFA</v>
      </c>
    </row>
    <row r="1005" spans="1:9" x14ac:dyDescent="0.2">
      <c r="A1005">
        <v>197415</v>
      </c>
      <c r="B1005" t="s">
        <v>1074</v>
      </c>
      <c r="C1005" t="s">
        <v>85</v>
      </c>
      <c r="D1005" t="s">
        <v>23</v>
      </c>
      <c r="E1005" t="s">
        <v>11</v>
      </c>
      <c r="F1005" s="1" t="d">
        <v>2020-12-18</v>
      </c>
      <c r="G1005" s="1" t="d">
        <v>2024-07-15</v>
      </c>
      <c r="I1005" t="str">
        <f>VLOOKUP(D1005,Table3[#All],2,FALSE)</f>
        <v>The Left</v>
      </c>
    </row>
    <row r="1006" spans="1:9" x14ac:dyDescent="0.2">
      <c r="A1006">
        <v>197410</v>
      </c>
      <c r="B1006" t="s">
        <v>1075</v>
      </c>
      <c r="C1006" t="s">
        <v>13</v>
      </c>
      <c r="D1006" t="s">
        <v>14</v>
      </c>
      <c r="E1006" t="s">
        <v>11</v>
      </c>
      <c r="F1006" s="1" t="d">
        <v>2024-07-16</v>
      </c>
      <c r="I1006" t="str">
        <f>VLOOKUP(D1006,Table3[#All],2,FALSE)</f>
        <v>EPP</v>
      </c>
    </row>
    <row r="1007" spans="1:9" x14ac:dyDescent="0.2">
      <c r="A1007">
        <v>232843</v>
      </c>
      <c r="B1007" t="s">
        <v>1076</v>
      </c>
      <c r="C1007" t="s">
        <v>13</v>
      </c>
      <c r="D1007" t="s">
        <v>158</v>
      </c>
      <c r="E1007" t="s">
        <v>11</v>
      </c>
      <c r="F1007" s="1" t="d">
        <v>2024-03-12</v>
      </c>
      <c r="G1007" s="1" t="d">
        <v>2024-07-15</v>
      </c>
      <c r="I1007" t="str">
        <f>VLOOKUP(D1007,Table3[#All],2,FALSE)</f>
        <v>Greens/EFA</v>
      </c>
    </row>
    <row r="1008" spans="1:9" x14ac:dyDescent="0.2">
      <c r="A1008">
        <v>229519</v>
      </c>
      <c r="B1008" t="s">
        <v>1077</v>
      </c>
      <c r="C1008" t="s">
        <v>9</v>
      </c>
      <c r="D1008" t="s">
        <v>207</v>
      </c>
      <c r="E1008" t="s">
        <v>11</v>
      </c>
      <c r="F1008" s="1" t="d">
        <v>2022-01-18</v>
      </c>
      <c r="G1008" s="1" t="d">
        <v>2024-07-15</v>
      </c>
      <c r="I1008" t="str">
        <f>VLOOKUP(D1008,Table3[#All],2,FALSE)</f>
        <v>Renew Europe</v>
      </c>
    </row>
    <row r="1009" spans="1:9" x14ac:dyDescent="0.2">
      <c r="A1009">
        <v>124734</v>
      </c>
      <c r="B1009" t="s">
        <v>1078</v>
      </c>
      <c r="C1009" t="s">
        <v>53</v>
      </c>
      <c r="D1009" t="s">
        <v>29</v>
      </c>
      <c r="E1009" t="s">
        <v>11</v>
      </c>
      <c r="F1009" s="1" t="d">
        <v>2019-07-02</v>
      </c>
      <c r="G1009" s="1" t="d">
        <v>2024-04-04</v>
      </c>
      <c r="I1009" t="str">
        <f>VLOOKUP(D1009,Table3[#All],2,FALSE)</f>
        <v>EPP</v>
      </c>
    </row>
    <row r="1010" spans="1:9" x14ac:dyDescent="0.2">
      <c r="A1010">
        <v>250237</v>
      </c>
      <c r="B1010" t="s">
        <v>1079</v>
      </c>
      <c r="C1010" t="s">
        <v>44</v>
      </c>
      <c r="D1010" t="s">
        <v>29</v>
      </c>
      <c r="E1010" t="s">
        <v>11</v>
      </c>
      <c r="F1010" s="1" t="d">
        <v>2023-11-16</v>
      </c>
      <c r="G1010" s="1" t="d">
        <v>2024-07-15</v>
      </c>
      <c r="I1010" t="str">
        <f>VLOOKUP(D1010,Table3[#All],2,FALSE)</f>
        <v>EPP</v>
      </c>
    </row>
    <row r="1011" spans="1:9" x14ac:dyDescent="0.2">
      <c r="A1011">
        <v>197441</v>
      </c>
      <c r="B1011" t="s">
        <v>1080</v>
      </c>
      <c r="C1011" t="s">
        <v>79</v>
      </c>
      <c r="D1011" t="s">
        <v>39</v>
      </c>
      <c r="E1011" t="s">
        <v>11</v>
      </c>
      <c r="F1011" s="1" t="d">
        <v>2024-07-16</v>
      </c>
      <c r="G1011" s="1" t="d">
        <v>2024-08-23</v>
      </c>
      <c r="I1011" t="str">
        <f>VLOOKUP(D1011,Table3[#All],2,FALSE)</f>
        <v>S&amp;D</v>
      </c>
    </row>
    <row r="1012" spans="1:9" x14ac:dyDescent="0.2">
      <c r="A1012">
        <v>254719</v>
      </c>
      <c r="B1012" t="s">
        <v>1081</v>
      </c>
      <c r="C1012" t="s">
        <v>53</v>
      </c>
      <c r="D1012" t="s">
        <v>29</v>
      </c>
      <c r="E1012" t="s">
        <v>11</v>
      </c>
      <c r="F1012" s="1" t="d">
        <v>2024-03-26</v>
      </c>
      <c r="G1012" s="1" t="d">
        <v>2024-07-15</v>
      </c>
      <c r="I1012" t="str">
        <f>VLOOKUP(D1012,Table3[#All],2,FALSE)</f>
        <v>EPP</v>
      </c>
    </row>
    <row r="1013" spans="1:9" x14ac:dyDescent="0.2">
      <c r="A1013">
        <v>28269</v>
      </c>
      <c r="B1013" t="s">
        <v>1082</v>
      </c>
      <c r="C1013" t="s">
        <v>44</v>
      </c>
      <c r="D1013" t="s">
        <v>29</v>
      </c>
      <c r="E1013" t="s">
        <v>11</v>
      </c>
      <c r="F1013" s="1" t="d">
        <v>2019-07-02</v>
      </c>
      <c r="G1013" s="1" t="d">
        <v>2024-07-15</v>
      </c>
      <c r="I1013" t="str">
        <f>VLOOKUP(D1013,Table3[#All],2,FALSE)</f>
        <v>EPP</v>
      </c>
    </row>
    <row r="1014" spans="1:9" x14ac:dyDescent="0.2">
      <c r="A1014">
        <v>236051</v>
      </c>
      <c r="B1014" t="s">
        <v>1083</v>
      </c>
      <c r="C1014" t="s">
        <v>58</v>
      </c>
      <c r="D1014" t="s">
        <v>112</v>
      </c>
      <c r="E1014" t="s">
        <v>11</v>
      </c>
      <c r="F1014" s="1" t="d">
        <v>2022-07-29</v>
      </c>
      <c r="G1014" s="1" t="d">
        <v>2024-07-15</v>
      </c>
      <c r="I1014" t="str">
        <f>VLOOKUP(D1014,Table3[#All],2,FALSE)</f>
        <v>ID</v>
      </c>
    </row>
    <row r="1015" spans="1:9" x14ac:dyDescent="0.2">
      <c r="A1015">
        <v>272024</v>
      </c>
      <c r="B1015" t="s">
        <v>1084</v>
      </c>
      <c r="C1015" t="s">
        <v>41</v>
      </c>
      <c r="D1015" t="s">
        <v>10</v>
      </c>
      <c r="E1015" t="s">
        <v>11</v>
      </c>
      <c r="F1015" s="1" t="d">
        <v>2025-10-04</v>
      </c>
      <c r="I1015" t="str">
        <f>VLOOKUP(D1015,Table3[#All],2,FALSE)</f>
        <v>PfE</v>
      </c>
    </row>
    <row r="1016" spans="1:9" x14ac:dyDescent="0.2">
      <c r="A1016">
        <v>204443</v>
      </c>
      <c r="B1016" t="s">
        <v>1085</v>
      </c>
      <c r="C1016" t="s">
        <v>22</v>
      </c>
      <c r="D1016" t="s">
        <v>146</v>
      </c>
      <c r="E1016" t="s">
        <v>11</v>
      </c>
      <c r="F1016" s="1" t="d">
        <v>2020-02-01</v>
      </c>
      <c r="G1016" s="1" t="d">
        <v>2024-07-15</v>
      </c>
      <c r="I1016" t="str">
        <f>VLOOKUP(D1016,Table3[#All],2,FALSE)</f>
        <v>EPP</v>
      </c>
    </row>
    <row r="1017" spans="1:9" x14ac:dyDescent="0.2">
      <c r="A1017">
        <v>96772</v>
      </c>
      <c r="B1017" t="s">
        <v>1086</v>
      </c>
      <c r="C1017" t="s">
        <v>13</v>
      </c>
      <c r="D1017" t="s">
        <v>29</v>
      </c>
      <c r="E1017" t="s">
        <v>11</v>
      </c>
      <c r="F1017" s="1" t="d">
        <v>2019-07-02</v>
      </c>
      <c r="G1017" s="1" t="d">
        <v>2024-07-15</v>
      </c>
      <c r="I1017" t="str">
        <f>VLOOKUP(D1017,Table3[#All],2,FALSE)</f>
        <v>EPP</v>
      </c>
    </row>
    <row r="1018" spans="1:9" x14ac:dyDescent="0.2">
      <c r="A1018">
        <v>197610</v>
      </c>
      <c r="B1018" t="s">
        <v>1087</v>
      </c>
      <c r="C1018" t="s">
        <v>25</v>
      </c>
      <c r="D1018" t="s">
        <v>112</v>
      </c>
      <c r="E1018" t="s">
        <v>11</v>
      </c>
      <c r="F1018" s="1" t="d">
        <v>2019-07-02</v>
      </c>
      <c r="G1018" s="1" t="d">
        <v>2024-07-15</v>
      </c>
      <c r="I1018" t="str">
        <f>VLOOKUP(D1018,Table3[#All],2,FALSE)</f>
        <v>ID</v>
      </c>
    </row>
    <row r="1019" spans="1:9" x14ac:dyDescent="0.2">
      <c r="A1019">
        <v>197709</v>
      </c>
      <c r="B1019" t="s">
        <v>1088</v>
      </c>
      <c r="C1019" t="s">
        <v>9</v>
      </c>
      <c r="D1019" t="s">
        <v>80</v>
      </c>
      <c r="E1019" t="s">
        <v>51</v>
      </c>
      <c r="F1019" s="1" t="d">
        <v>2021-04-20</v>
      </c>
      <c r="G1019" s="1" t="d">
        <v>2024-07-15</v>
      </c>
      <c r="I1019" t="str">
        <f>VLOOKUP(D1019,Table3[#All],2,FALSE)</f>
        <v>ECR</v>
      </c>
    </row>
    <row r="1020" spans="1:9" x14ac:dyDescent="0.2">
      <c r="A1020">
        <v>96891</v>
      </c>
      <c r="B1020" t="s">
        <v>1089</v>
      </c>
      <c r="C1020" t="s">
        <v>25</v>
      </c>
      <c r="D1020" t="s">
        <v>180</v>
      </c>
      <c r="E1020" t="s">
        <v>11</v>
      </c>
      <c r="F1020" s="1" t="d">
        <v>2019-07-02</v>
      </c>
      <c r="G1020" s="1" t="d">
        <v>2024-07-15</v>
      </c>
      <c r="I1020" t="str">
        <f>VLOOKUP(D1020,Table3[#All],2,FALSE)</f>
        <v>S&amp;D</v>
      </c>
    </row>
    <row r="1021" spans="1:9" x14ac:dyDescent="0.2">
      <c r="A1021">
        <v>124709</v>
      </c>
      <c r="B1021" t="s">
        <v>1090</v>
      </c>
      <c r="C1021" t="s">
        <v>41</v>
      </c>
      <c r="D1021" t="s">
        <v>207</v>
      </c>
      <c r="E1021" t="s">
        <v>11</v>
      </c>
      <c r="F1021" s="1" t="d">
        <v>2019-07-02</v>
      </c>
      <c r="G1021" s="1" t="d">
        <v>2024-07-15</v>
      </c>
      <c r="I1021" t="str">
        <f>VLOOKUP(D1021,Table3[#All],2,FALSE)</f>
        <v>Renew Europe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27"/>
  <sheetViews>
    <sheetView workbookViewId="0">
      <selection sqref="A1:B27"/>
    </sheetView>
  </sheetViews>
  <sheetFormatPr baseColWidth="10" defaultRowHeight="16" x14ac:dyDescent="0.2"/>
  <cols>
    <col min="1" max="1" width="21.1640625" customWidth="1"/>
    <col min="2" max="2" width="24.5" customWidth="1"/>
  </cols>
  <sheetData>
    <row r="1" spans="1:2" x14ac:dyDescent="0.2">
      <c r="A1" t="s">
        <v>3</v>
      </c>
      <c r="B1" t="s">
        <v>1120</v>
      </c>
    </row>
    <row r="2" spans="1:2" x14ac:dyDescent="0.2">
      <c r="A2" t="s">
        <v>10</v>
      </c>
      <c r="B2" t="str">
        <f>VLOOKUP(A2,Table2[#All],3,FALSE)</f>
        <v>PfE</v>
      </c>
    </row>
    <row r="3" spans="1:2" x14ac:dyDescent="0.2">
      <c r="A3" t="s">
        <v>14</v>
      </c>
      <c r="B3" t="str">
        <f>VLOOKUP(A3,Table2[#All],3,FALSE)</f>
        <v>EPP</v>
      </c>
    </row>
    <row r="4" spans="1:2" x14ac:dyDescent="0.2">
      <c r="A4" t="s">
        <v>17</v>
      </c>
      <c r="B4" t="str">
        <f>VLOOKUP(A4,Table2[#All],3,FALSE)</f>
        <v>ECR</v>
      </c>
    </row>
    <row r="5" spans="1:2" x14ac:dyDescent="0.2">
      <c r="A5" t="s">
        <v>20</v>
      </c>
      <c r="B5" t="str">
        <f>VLOOKUP(A5,Table2[#All],3,FALSE)</f>
        <v>Greens/EFA</v>
      </c>
    </row>
    <row r="6" spans="1:2" x14ac:dyDescent="0.2">
      <c r="A6" t="s">
        <v>23</v>
      </c>
      <c r="B6" t="str">
        <f>VLOOKUP(A6,Table2[#All],3,FALSE)</f>
        <v>The Left</v>
      </c>
    </row>
    <row r="7" spans="1:2" x14ac:dyDescent="0.2">
      <c r="A7" t="s">
        <v>29</v>
      </c>
      <c r="B7" t="str">
        <f>VLOOKUP(A7,Table2[#All],3,FALSE)</f>
        <v>EPP</v>
      </c>
    </row>
    <row r="8" spans="1:2" x14ac:dyDescent="0.2">
      <c r="A8" t="s">
        <v>33</v>
      </c>
      <c r="B8" t="str">
        <f>VLOOKUP(A8,Table2[#All],3,FALSE)</f>
        <v>The Left</v>
      </c>
    </row>
    <row r="9" spans="1:2" x14ac:dyDescent="0.2">
      <c r="A9" t="s">
        <v>37</v>
      </c>
      <c r="B9" t="str">
        <f>VLOOKUP(A9,Table2[#All],3,FALSE)</f>
        <v>ESN</v>
      </c>
    </row>
    <row r="10" spans="1:2" x14ac:dyDescent="0.2">
      <c r="A10" t="s">
        <v>39</v>
      </c>
      <c r="B10" t="str">
        <f>VLOOKUP(A10,Table2[#All],3,FALSE)</f>
        <v>S&amp;D</v>
      </c>
    </row>
    <row r="11" spans="1:2" x14ac:dyDescent="0.2">
      <c r="A11" t="s">
        <v>46</v>
      </c>
      <c r="B11" t="str">
        <f>VLOOKUP(A11,Table2[#All],3,FALSE)</f>
        <v>Renew Europe</v>
      </c>
    </row>
    <row r="12" spans="1:2" x14ac:dyDescent="0.2">
      <c r="A12" t="s">
        <v>49</v>
      </c>
      <c r="B12" t="str">
        <f>VLOOKUP(A12,Table2[#All],3,FALSE)</f>
        <v>Non-attached</v>
      </c>
    </row>
    <row r="13" spans="1:2" x14ac:dyDescent="0.2">
      <c r="A13" t="s">
        <v>80</v>
      </c>
      <c r="B13" t="str">
        <f>VLOOKUP(A13,Table2[#All],3,FALSE)</f>
        <v>ECR</v>
      </c>
    </row>
    <row r="14" spans="1:2" x14ac:dyDescent="0.2">
      <c r="A14" t="s">
        <v>112</v>
      </c>
      <c r="B14" t="str">
        <f>VLOOKUP(A14,Table2[#All],3,FALSE)</f>
        <v>ID</v>
      </c>
    </row>
    <row r="15" spans="1:2" x14ac:dyDescent="0.2">
      <c r="A15" t="s">
        <v>146</v>
      </c>
      <c r="B15" t="str">
        <f>VLOOKUP(A15,Table2[#All],3,FALSE)</f>
        <v>EPP</v>
      </c>
    </row>
    <row r="16" spans="1:2" x14ac:dyDescent="0.2">
      <c r="A16" t="s">
        <v>158</v>
      </c>
      <c r="B16" t="str">
        <f>VLOOKUP(A16,Table2[#All],3,FALSE)</f>
        <v>Greens/EFA</v>
      </c>
    </row>
    <row r="17" spans="1:2" x14ac:dyDescent="0.2">
      <c r="A17" t="s">
        <v>180</v>
      </c>
      <c r="B17" t="str">
        <f>VLOOKUP(A17,Table2[#All],3,FALSE)</f>
        <v>S&amp;D</v>
      </c>
    </row>
    <row r="18" spans="1:2" x14ac:dyDescent="0.2">
      <c r="A18" t="s">
        <v>207</v>
      </c>
      <c r="B18" t="str">
        <f>VLOOKUP(A18,Table2[#All],3,FALSE)</f>
        <v>Renew Europe</v>
      </c>
    </row>
    <row r="19" spans="1:2" x14ac:dyDescent="0.2">
      <c r="A19" t="s">
        <v>252</v>
      </c>
      <c r="B19" t="str">
        <f>VLOOKUP(A19,Table2[#All],3,FALSE)</f>
        <v>S&amp;D</v>
      </c>
    </row>
    <row r="20" spans="1:2" x14ac:dyDescent="0.2">
      <c r="A20" t="s">
        <v>281</v>
      </c>
      <c r="B20" t="str">
        <f>VLOOKUP(A20,Table2[#All],3,FALSE)</f>
        <v>S&amp;D</v>
      </c>
    </row>
    <row r="21" spans="1:2" x14ac:dyDescent="0.2">
      <c r="A21" t="s">
        <v>299</v>
      </c>
      <c r="B21" t="str">
        <f>VLOOKUP(A21,Table2[#All],3,FALSE)</f>
        <v>EPP</v>
      </c>
    </row>
    <row r="22" spans="1:2" x14ac:dyDescent="0.2">
      <c r="A22" t="s">
        <v>424</v>
      </c>
      <c r="B22" t="str">
        <f>VLOOKUP(A22,Table2[#All],3,FALSE)</f>
        <v>S&amp;D</v>
      </c>
    </row>
    <row r="23" spans="1:2" x14ac:dyDescent="0.2">
      <c r="A23" t="s">
        <v>565</v>
      </c>
      <c r="B23" t="str">
        <f>VLOOKUP(A23,Table2[#All],3,FALSE)</f>
        <v>Renew Europe</v>
      </c>
    </row>
    <row r="24" spans="1:2" x14ac:dyDescent="0.2">
      <c r="A24" t="s">
        <v>665</v>
      </c>
      <c r="B24" t="str">
        <f>VLOOKUP(A24,Table2[#All],3,FALSE)</f>
        <v>ECR</v>
      </c>
    </row>
    <row r="25" spans="1:2" x14ac:dyDescent="0.2">
      <c r="A25" t="s">
        <v>717</v>
      </c>
      <c r="B25" t="str">
        <f>VLOOKUP(A25,Table2[#All],3,FALSE)</f>
        <v>EPP</v>
      </c>
    </row>
    <row r="26" spans="1:2" x14ac:dyDescent="0.2">
      <c r="A26" t="s">
        <v>922</v>
      </c>
      <c r="B26" t="str">
        <f>VLOOKUP(A26,Table2[#All],3,FALSE)</f>
        <v>EPP</v>
      </c>
    </row>
    <row r="27" spans="1:2" x14ac:dyDescent="0.2">
      <c r="A27" t="s">
        <v>1057</v>
      </c>
      <c r="B27" t="str">
        <f>VLOOKUP(A27,Table2[#All],3,FALSE)</f>
        <v>Renew Europe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44"/>
  <sheetViews>
    <sheetView topLeftCell="A7" workbookViewId="0">
      <selection activeCell="E6" sqref="E6"/>
    </sheetView>
  </sheetViews>
  <sheetFormatPr baseColWidth="10" defaultRowHeight="16" x14ac:dyDescent="0.2"/>
  <sheetData>
    <row r="1" spans="1:3" x14ac:dyDescent="0.2">
      <c r="A1" t="s">
        <v>3</v>
      </c>
      <c r="B1" t="s">
        <v>1091</v>
      </c>
      <c r="C1" t="s">
        <v>1092</v>
      </c>
    </row>
    <row r="2" spans="1:3" x14ac:dyDescent="0.2">
      <c r="A2" t="s">
        <v>29</v>
      </c>
      <c r="B2" t="s">
        <v>1093</v>
      </c>
      <c r="C2" t="s">
        <v>1093</v>
      </c>
    </row>
    <row r="3" spans="1:3" x14ac:dyDescent="0.2">
      <c r="A3" t="s">
        <v>424</v>
      </c>
      <c r="C3" t="s">
        <v>1094</v>
      </c>
    </row>
    <row r="4" spans="1:3" x14ac:dyDescent="0.2">
      <c r="A4" t="s">
        <v>46</v>
      </c>
      <c r="C4" t="s">
        <v>1095</v>
      </c>
    </row>
    <row r="5" spans="1:3" x14ac:dyDescent="0.2">
      <c r="A5" t="s">
        <v>1096</v>
      </c>
      <c r="C5" t="s">
        <v>1097</v>
      </c>
    </row>
    <row r="6" spans="1:3" x14ac:dyDescent="0.2">
      <c r="A6" t="s">
        <v>112</v>
      </c>
      <c r="C6" t="s">
        <v>1098</v>
      </c>
    </row>
    <row r="7" spans="1:3" x14ac:dyDescent="0.2">
      <c r="A7" t="s">
        <v>23</v>
      </c>
      <c r="C7" t="s">
        <v>1099</v>
      </c>
    </row>
    <row r="8" spans="1:3" x14ac:dyDescent="0.2">
      <c r="A8" t="s">
        <v>158</v>
      </c>
      <c r="C8" t="s">
        <v>1097</v>
      </c>
    </row>
    <row r="9" spans="1:3" x14ac:dyDescent="0.2">
      <c r="A9" t="s">
        <v>14</v>
      </c>
      <c r="B9" t="s">
        <v>1093</v>
      </c>
      <c r="C9" t="s">
        <v>1093</v>
      </c>
    </row>
    <row r="10" spans="1:3" x14ac:dyDescent="0.2">
      <c r="A10" t="s">
        <v>922</v>
      </c>
      <c r="C10" t="s">
        <v>1093</v>
      </c>
    </row>
    <row r="11" spans="1:3" x14ac:dyDescent="0.2">
      <c r="A11" t="s">
        <v>80</v>
      </c>
      <c r="C11" t="s">
        <v>1100</v>
      </c>
    </row>
    <row r="12" spans="1:3" x14ac:dyDescent="0.2">
      <c r="A12" t="s">
        <v>1101</v>
      </c>
      <c r="C12" t="s">
        <v>1099</v>
      </c>
    </row>
    <row r="13" spans="1:3" x14ac:dyDescent="0.2">
      <c r="A13" t="s">
        <v>10</v>
      </c>
      <c r="C13" t="s">
        <v>1102</v>
      </c>
    </row>
    <row r="14" spans="1:3" x14ac:dyDescent="0.2">
      <c r="A14" t="s">
        <v>39</v>
      </c>
      <c r="C14" t="s">
        <v>1094</v>
      </c>
    </row>
    <row r="15" spans="1:3" x14ac:dyDescent="0.2">
      <c r="A15" t="s">
        <v>20</v>
      </c>
      <c r="C15" t="s">
        <v>1097</v>
      </c>
    </row>
    <row r="16" spans="1:3" x14ac:dyDescent="0.2">
      <c r="A16" t="s">
        <v>1103</v>
      </c>
      <c r="C16" t="s">
        <v>1098</v>
      </c>
    </row>
    <row r="17" spans="1:3" x14ac:dyDescent="0.2">
      <c r="A17" t="s">
        <v>1104</v>
      </c>
      <c r="C17" t="s">
        <v>1099</v>
      </c>
    </row>
    <row r="18" spans="1:3" x14ac:dyDescent="0.2">
      <c r="A18" t="s">
        <v>207</v>
      </c>
      <c r="C18" t="s">
        <v>1095</v>
      </c>
    </row>
    <row r="19" spans="1:3" x14ac:dyDescent="0.2">
      <c r="A19" t="s">
        <v>252</v>
      </c>
      <c r="C19" t="s">
        <v>1094</v>
      </c>
    </row>
    <row r="20" spans="1:3" x14ac:dyDescent="0.2">
      <c r="A20" t="s">
        <v>180</v>
      </c>
      <c r="C20" t="s">
        <v>1094</v>
      </c>
    </row>
    <row r="21" spans="1:3" x14ac:dyDescent="0.2">
      <c r="A21" t="s">
        <v>146</v>
      </c>
      <c r="C21" t="s">
        <v>1093</v>
      </c>
    </row>
    <row r="22" spans="1:3" x14ac:dyDescent="0.2">
      <c r="A22" t="s">
        <v>1105</v>
      </c>
      <c r="C22" t="s">
        <v>1097</v>
      </c>
    </row>
    <row r="23" spans="1:3" x14ac:dyDescent="0.2">
      <c r="A23" t="s">
        <v>49</v>
      </c>
      <c r="C23" t="s">
        <v>1106</v>
      </c>
    </row>
    <row r="24" spans="1:3" x14ac:dyDescent="0.2">
      <c r="A24" t="s">
        <v>717</v>
      </c>
      <c r="C24" t="s">
        <v>1093</v>
      </c>
    </row>
    <row r="25" spans="1:3" x14ac:dyDescent="0.2">
      <c r="A25" t="s">
        <v>17</v>
      </c>
      <c r="C25" t="s">
        <v>1100</v>
      </c>
    </row>
    <row r="26" spans="1:3" x14ac:dyDescent="0.2">
      <c r="A26" t="s">
        <v>33</v>
      </c>
      <c r="C26" t="s">
        <v>1099</v>
      </c>
    </row>
    <row r="27" spans="1:3" x14ac:dyDescent="0.2">
      <c r="A27" t="s">
        <v>1107</v>
      </c>
      <c r="C27" t="s">
        <v>1100</v>
      </c>
    </row>
    <row r="28" spans="1:3" x14ac:dyDescent="0.2">
      <c r="A28" t="s">
        <v>665</v>
      </c>
      <c r="C28" t="s">
        <v>1100</v>
      </c>
    </row>
    <row r="29" spans="1:3" x14ac:dyDescent="0.2">
      <c r="A29" t="s">
        <v>281</v>
      </c>
      <c r="C29" t="s">
        <v>1094</v>
      </c>
    </row>
    <row r="30" spans="1:3" x14ac:dyDescent="0.2">
      <c r="A30" t="s">
        <v>1108</v>
      </c>
      <c r="C30" t="s">
        <v>1100</v>
      </c>
    </row>
    <row r="31" spans="1:3" x14ac:dyDescent="0.2">
      <c r="A31" t="s">
        <v>1109</v>
      </c>
      <c r="C31" t="s">
        <v>1097</v>
      </c>
    </row>
    <row r="32" spans="1:3" x14ac:dyDescent="0.2">
      <c r="A32" t="s">
        <v>299</v>
      </c>
      <c r="C32" t="s">
        <v>1093</v>
      </c>
    </row>
    <row r="33" spans="1:3" x14ac:dyDescent="0.2">
      <c r="A33" t="s">
        <v>1110</v>
      </c>
      <c r="C33" t="s">
        <v>1093</v>
      </c>
    </row>
    <row r="34" spans="1:3" x14ac:dyDescent="0.2">
      <c r="A34" t="s">
        <v>1111</v>
      </c>
      <c r="C34" t="s">
        <v>1106</v>
      </c>
    </row>
    <row r="35" spans="1:3" x14ac:dyDescent="0.2">
      <c r="A35" t="s">
        <v>1112</v>
      </c>
      <c r="C35" t="s">
        <v>1093</v>
      </c>
    </row>
    <row r="36" spans="1:3" x14ac:dyDescent="0.2">
      <c r="A36" t="s">
        <v>1113</v>
      </c>
      <c r="C36" t="s">
        <v>1097</v>
      </c>
    </row>
    <row r="37" spans="1:3" x14ac:dyDescent="0.2">
      <c r="A37" t="s">
        <v>1114</v>
      </c>
      <c r="C37" t="s">
        <v>1106</v>
      </c>
    </row>
    <row r="38" spans="1:3" x14ac:dyDescent="0.2">
      <c r="A38" t="s">
        <v>1057</v>
      </c>
      <c r="C38" t="s">
        <v>1095</v>
      </c>
    </row>
    <row r="39" spans="1:3" x14ac:dyDescent="0.2">
      <c r="A39" t="s">
        <v>565</v>
      </c>
      <c r="C39" t="s">
        <v>1095</v>
      </c>
    </row>
    <row r="40" spans="1:3" x14ac:dyDescent="0.2">
      <c r="A40" t="s">
        <v>37</v>
      </c>
      <c r="C40" t="s">
        <v>1115</v>
      </c>
    </row>
    <row r="41" spans="1:3" x14ac:dyDescent="0.2">
      <c r="A41" t="s">
        <v>1116</v>
      </c>
      <c r="C41" t="s">
        <v>1095</v>
      </c>
    </row>
    <row r="42" spans="1:3" x14ac:dyDescent="0.2">
      <c r="A42" t="s">
        <v>1117</v>
      </c>
      <c r="C42" t="s">
        <v>1093</v>
      </c>
    </row>
    <row r="43" spans="1:3" x14ac:dyDescent="0.2">
      <c r="A43" t="s">
        <v>1118</v>
      </c>
      <c r="C43" t="s">
        <v>1093</v>
      </c>
    </row>
    <row r="44" spans="1:3" x14ac:dyDescent="0.2">
      <c r="A44" t="s">
        <v>1119</v>
      </c>
      <c r="C44" t="s">
        <v>1094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europarl_speakers_random_v1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2026-05-26T09:06:28Z</dcterms:created>
  <dcterms:modified xsi:type="dcterms:W3CDTF">2026-05-26T09:15:07Z</dcterms:modified>
</cp:coreProperties>
</file>