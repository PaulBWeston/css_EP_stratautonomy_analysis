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aul/Documents/git_repos/css_EP_stratautonomy_analysis/"/>
    </mc:Choice>
  </mc:AlternateContent>
  <xr:revisionPtr revIDLastSave="0" documentId="8_{1A74029B-7230-E14B-A17C-B7F19577C422}" xr6:coauthVersionLast="47" xr6:coauthVersionMax="47" xr10:uidLastSave="{00000000-0000-0000-0000-000000000000}"/>
  <bookViews>
    <workbookView xWindow="380" yWindow="460" windowWidth="19520" windowHeight="17040"/>
  </bookViews>
  <sheets>
    <sheet name="europarl_speakers_small_v3" sheetId="1" r:id="rId1"/>
    <sheet name="org_lookup" sheetId="2" r:id="rId2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2" i="1"/>
</calcChain>
</file>

<file path=xl/sharedStrings.xml><?xml version="1.0" encoding="utf-8"?>
<sst xmlns="http://purl.oclc.org/ooxml/spreadsheetml/main" count="2040" uniqueCount="585">
  <si>
    <t>speaker_id</t>
  </si>
  <si>
    <t>speaker_name</t>
  </si>
  <si>
    <t>country</t>
  </si>
  <si>
    <t>eu_political_group_id</t>
  </si>
  <si>
    <t>eu_political_group_role</t>
  </si>
  <si>
    <t>eu_political_group_valid_from</t>
  </si>
  <si>
    <t>eu_political_group_valid_to</t>
  </si>
  <si>
    <t>national_party_raw</t>
  </si>
  <si>
    <t>Roberta METSOLA</t>
  </si>
  <si>
    <t>http://publications.europa.eu/resource/authority/country/MLT</t>
  </si>
  <si>
    <t>org/5153</t>
  </si>
  <si>
    <t>def/ep-roles/MEMBER</t>
  </si>
  <si>
    <t>Iratxe GARC√çA P√âREZ</t>
  </si>
  <si>
    <t>http://publications.europa.eu/resource/authority/country/ESP</t>
  </si>
  <si>
    <t>org/1534</t>
  </si>
  <si>
    <t>Malik AZMANI</t>
  </si>
  <si>
    <t>http://publications.europa.eu/resource/authority/country/NLD</t>
  </si>
  <si>
    <t>org/7035</t>
  </si>
  <si>
    <t>def/ep-roles/MEMBER_BUREAU</t>
  </si>
  <si>
    <t>Terry REINTKE</t>
  </si>
  <si>
    <t>http://publications.europa.eu/resource/authority/country/DEU</t>
  </si>
  <si>
    <t>org/4285</t>
  </si>
  <si>
    <t>Eric MINARDI</t>
  </si>
  <si>
    <t>http://publications.europa.eu/resource/authority/country/FRA</t>
  </si>
  <si>
    <t>org/5588</t>
  </si>
  <si>
    <t>Leila CHAIBI</t>
  </si>
  <si>
    <t>org/6259</t>
  </si>
  <si>
    <t>Ana MIRANDA PAZ</t>
  </si>
  <si>
    <t>org/5155</t>
  </si>
  <si>
    <t>Dolors MONTSERRAT</t>
  </si>
  <si>
    <t>org/7018</t>
  </si>
  <si>
    <t>def/ep-roles/CHAIR_VICE</t>
  </si>
  <si>
    <t>Michael GAHLER</t>
  </si>
  <si>
    <t>org/2952</t>
  </si>
  <si>
    <t>Bert-Jan RUISSEN</t>
  </si>
  <si>
    <t>org/5148</t>
  </si>
  <si>
    <t>Silvia MODIG</t>
  </si>
  <si>
    <t>http://publications.europa.eu/resource/authority/country/FIN</t>
  </si>
  <si>
    <t>org/5151</t>
  </si>
  <si>
    <t>Jean-Paul GARRAUD</t>
  </si>
  <si>
    <t>org/7150</t>
  </si>
  <si>
    <t>Vladim√≠r BILƒå√çK</t>
  </si>
  <si>
    <t>http://publications.europa.eu/resource/authority/country/SVK</t>
  </si>
  <si>
    <t>Peter LIESE</t>
  </si>
  <si>
    <t>Bas EICKHOUT</t>
  </si>
  <si>
    <t>Ivan ≈†TEFANEC</t>
  </si>
  <si>
    <t>G√ºnther SIDL</t>
  </si>
  <si>
    <t>http://publications.europa.eu/resource/authority/country/AUT</t>
  </si>
  <si>
    <t>org/7038</t>
  </si>
  <si>
    <t>P√§r HOLMGREN</t>
  </si>
  <si>
    <t>http://publications.europa.eu/resource/authority/country/SWE</t>
  </si>
  <si>
    <t>org/7028</t>
  </si>
  <si>
    <t>Johan NISSINEN</t>
  </si>
  <si>
    <t>Danilo Oscar LANCINI</t>
  </si>
  <si>
    <t>http://publications.europa.eu/resource/authority/country/ITA</t>
  </si>
  <si>
    <t>org/4908</t>
  </si>
  <si>
    <t>Anja HAZEKAMP</t>
  </si>
  <si>
    <t>org/4281</t>
  </si>
  <si>
    <t>Hildegard BENTELE</t>
  </si>
  <si>
    <t>Aur√©lia BEIGNEUX</t>
  </si>
  <si>
    <t>Nikolaj VILLUMSEN</t>
  </si>
  <si>
    <t>http://publications.europa.eu/resource/authority/country/DNK</t>
  </si>
  <si>
    <t>Christian DOLESCHAL</t>
  </si>
  <si>
    <t>Clare DALY</t>
  </si>
  <si>
    <t>http://publications.europa.eu/resource/authority/country/IRL</t>
  </si>
  <si>
    <t>Martin HOJS√çK</t>
  </si>
  <si>
    <t>org/5704</t>
  </si>
  <si>
    <t>Danuta Maria H√úBNER</t>
  </si>
  <si>
    <t>http://publications.europa.eu/resource/authority/country/POL</t>
  </si>
  <si>
    <t>Eugen JURZYCA</t>
  </si>
  <si>
    <t>Jos√© GUSM√ÉO</t>
  </si>
  <si>
    <t>http://publications.europa.eu/resource/authority/country/PRT</t>
  </si>
  <si>
    <t>Enik≈ë GY≈êRI</t>
  </si>
  <si>
    <t>http://publications.europa.eu/resource/authority/country/HUN</t>
  </si>
  <si>
    <t>Jon√°s FERN√ÅNDEZ</t>
  </si>
  <si>
    <t>org/4284</t>
  </si>
  <si>
    <t>Radan KANEV</t>
  </si>
  <si>
    <t>http://publications.europa.eu/resource/authority/country/BGR</t>
  </si>
  <si>
    <t>Evelyn REGNER</t>
  </si>
  <si>
    <t>org/5154</t>
  </si>
  <si>
    <t>Dennis RADTKE</t>
  </si>
  <si>
    <t>Agnes JONGERIUS</t>
  </si>
  <si>
    <t>Drago≈ü P√éSLARU</t>
  </si>
  <si>
    <t>http://publications.europa.eu/resource/authority/country/ROU</t>
  </si>
  <si>
    <t>Mounir SATOURI</t>
  </si>
  <si>
    <t>√ñzlem DEMIREL</t>
  </si>
  <si>
    <t>Jeroen LENAERS</t>
  </si>
  <si>
    <t>Cindy FRANSSEN</t>
  </si>
  <si>
    <t>http://publications.europa.eu/resource/authority/country/BEL</t>
  </si>
  <si>
    <t>√Åd√°m K√ìSA</t>
  </si>
  <si>
    <t>org/5152</t>
  </si>
  <si>
    <t>Eugenia RODR√çGUEZ PALOP</t>
  </si>
  <si>
    <t>Marc TARABELLA</t>
  </si>
  <si>
    <t>Estrella DUR√Å FERRANDIS</t>
  </si>
  <si>
    <t>Mick WALLACE</t>
  </si>
  <si>
    <t>Pedro SILVA PEREIRA</t>
  </si>
  <si>
    <t>Christophe CLERGEAU</t>
  </si>
  <si>
    <t>Piernicola PEDICINI</t>
  </si>
  <si>
    <t>org/4880</t>
  </si>
  <si>
    <t>Gilles LEBRETON</t>
  </si>
  <si>
    <t>Kate≈ôina KONEƒåN√Å</t>
  </si>
  <si>
    <t>http://publications.europa.eu/resource/authority/country/CZE</t>
  </si>
  <si>
    <t>def/ep-roles/TREASURER</t>
  </si>
  <si>
    <t>Martin SONNEBORN</t>
  </si>
  <si>
    <t>org/6561</t>
  </si>
  <si>
    <t>Elissavet VOZEMBERG-VRIONIDI</t>
  </si>
  <si>
    <t>http://publications.europa.eu/resource/authority/country/GRC</t>
  </si>
  <si>
    <t>org/4273</t>
  </si>
  <si>
    <t>Grace O'SULLIVAN</t>
  </si>
  <si>
    <t>Delara BURKHARDT</t>
  </si>
  <si>
    <t>Milan BRGLEZ</t>
  </si>
  <si>
    <t>http://publications.europa.eu/resource/authority/country/SVN</t>
  </si>
  <si>
    <t>Nicolae »òTEFƒÇNU»öƒÇ</t>
  </si>
  <si>
    <t>Patricia CHAGNON</t>
  </si>
  <si>
    <t>Victor NEGRESCU</t>
  </si>
  <si>
    <t>Siegfried MURE≈ûAN</t>
  </si>
  <si>
    <t>Nicola PROCACCINI</t>
  </si>
  <si>
    <t>org/7037</t>
  </si>
  <si>
    <t>def/ep-roles/CHAIR_CO</t>
  </si>
  <si>
    <t>Vincenzo SOFO</t>
  </si>
  <si>
    <t>Sophia IN 'T VELD</t>
  </si>
  <si>
    <t>Andreas SCHIEDER</t>
  </si>
  <si>
    <t>Stelios KYMPOUROPOULOS</t>
  </si>
  <si>
    <t>Ond≈ôej KNOTEK</t>
  </si>
  <si>
    <t>Patrizia TOIA</t>
  </si>
  <si>
    <t>Maria SPYRAKI</t>
  </si>
  <si>
    <t>Tudor CIUHODARU</t>
  </si>
  <si>
    <t>Ljudmila NOVAK</t>
  </si>
  <si>
    <t>Miapetra KUMPULA-NATRI</t>
  </si>
  <si>
    <t>Eero HEIN√ÑLUOMA</t>
  </si>
  <si>
    <t>Moritz K√ñRNER</t>
  </si>
  <si>
    <t>Karima DELLI</t>
  </si>
  <si>
    <t>Claude GRUFFAT</t>
  </si>
  <si>
    <t>Pedro MARQUES</t>
  </si>
  <si>
    <t>Hannah NEUMANN</t>
  </si>
  <si>
    <t>Marc BOTENGA</t>
  </si>
  <si>
    <t>org/7036</t>
  </si>
  <si>
    <t>Lefteris NIKOLAOU-ALAVANOS</t>
  </si>
  <si>
    <t>Ilan DE BASSO</t>
  </si>
  <si>
    <t>Gabriele BISCHOFF</t>
  </si>
  <si>
    <t>Lukas MANDL</t>
  </si>
  <si>
    <t>Kim VAN SPARRENTAK</t>
  </si>
  <si>
    <t>Daniela RONDINELLI</t>
  </si>
  <si>
    <t>Alex AGIUS SALIBA</t>
  </si>
  <si>
    <t>Ilhan KYUCHYUK</t>
  </si>
  <si>
    <t>Malte GALL√âE</t>
  </si>
  <si>
    <t>Michiel HOOGEVEEN</t>
  </si>
  <si>
    <t>Vlad-Marius BOTO≈û</t>
  </si>
  <si>
    <t>Philippe LAMBERTS</t>
  </si>
  <si>
    <t>Kathleen VAN BREMPT</t>
  </si>
  <si>
    <t>Saskia BRICMONT</t>
  </si>
  <si>
    <t>Izabela-Helena KLOC</t>
  </si>
  <si>
    <t>Antoni COM√çN I OLIVERES</t>
  </si>
  <si>
    <t>Tomas TOB√â</t>
  </si>
  <si>
    <t>Karlo RESSLER</t>
  </si>
  <si>
    <t>http://publications.europa.eu/resource/authority/country/HRV</t>
  </si>
  <si>
    <t>Kinga G√ÅL</t>
  </si>
  <si>
    <t>Othmar KARAS</t>
  </si>
  <si>
    <t>Anna FOTYGA</t>
  </si>
  <si>
    <t>org/1539</t>
  </si>
  <si>
    <t>Andrius KUBILIUS</t>
  </si>
  <si>
    <t>http://publications.europa.eu/resource/authority/country/LTU</t>
  </si>
  <si>
    <t>Sven MIKSER</t>
  </si>
  <si>
    <t>http://publications.europa.eu/resource/authority/country/EST</t>
  </si>
  <si>
    <t>Bronis ROPƒñ</t>
  </si>
  <si>
    <t>Alexandr VONDRA</t>
  </si>
  <si>
    <t>Zdzis≈Çaw KRASNODƒòBSKI</t>
  </si>
  <si>
    <t>org/4275</t>
  </si>
  <si>
    <t>≈Åukasz KOHUT</t>
  </si>
  <si>
    <t>Biljana BORZAN</t>
  </si>
  <si>
    <t>org/2953</t>
  </si>
  <si>
    <t>def/ep-roles/OBSERVER</t>
  </si>
  <si>
    <t>Sandro GOZI</t>
  </si>
  <si>
    <t>David CORMAND</t>
  </si>
  <si>
    <t>Anders VISTISEN</t>
  </si>
  <si>
    <t>Anne-Sophie PELLETIER</t>
  </si>
  <si>
    <t>Andreas SCHWAB</t>
  </si>
  <si>
    <t>Christel SCHALDEMOSE</t>
  </si>
  <si>
    <t>Adam BIELAN</t>
  </si>
  <si>
    <t>org/990</t>
  </si>
  <si>
    <t>Ren√© REPASI</t>
  </si>
  <si>
    <t>Maria-Manuel LEIT√ÉO-MARQUES</t>
  </si>
  <si>
    <t>Laura BALLAR√çN CEREZA</t>
  </si>
  <si>
    <t>Ilana CICUREL</t>
  </si>
  <si>
    <t>Mislav KOLAKU≈†IƒÜ</t>
  </si>
  <si>
    <t>Angelika WINZIG</t>
  </si>
  <si>
    <t>Juan Fernando L√ìPEZ AGUILAR</t>
  </si>
  <si>
    <t>Ladislav ILƒåIƒÜ</t>
  </si>
  <si>
    <t>Monika BE≈áOV√Å</t>
  </si>
  <si>
    <t>Andrzej HALICKI</t>
  </si>
  <si>
    <t>Tom√°≈° ZDECHOVSK√ù</t>
  </si>
  <si>
    <t>Miriam LEXMANN</t>
  </si>
  <si>
    <t>Jordi SOL√â</t>
  </si>
  <si>
    <t>Charlie WEIMERS</t>
  </si>
  <si>
    <t>Christophe GRUDLER</t>
  </si>
  <si>
    <t>Jo√£o PIMENTA LOPES</t>
  </si>
  <si>
    <t>Marisa MATIAS</t>
  </si>
  <si>
    <t>Nathalie LOISEAU</t>
  </si>
  <si>
    <t>Manon AUBRY</t>
  </si>
  <si>
    <t>Stelios KOULOGLOU</t>
  </si>
  <si>
    <t>Heidi HAUTALA</t>
  </si>
  <si>
    <t>org/991</t>
  </si>
  <si>
    <t>def/ep-roles/CHAIR</t>
  </si>
  <si>
    <t>Alviina ALAMETS√Ñ</t>
  </si>
  <si>
    <t>Nikos PAPANDREOU</t>
  </si>
  <si>
    <t>Engin EROGLU</t>
  </si>
  <si>
    <t>Thierry MARIANI</t>
  </si>
  <si>
    <t>Idoia VILLANUEVA RUIZ</t>
  </si>
  <si>
    <t>≈Ωeljana ZOVKO</t>
  </si>
  <si>
    <t>Pina PICIERNO</t>
  </si>
  <si>
    <t>Marc ANGEL</t>
  </si>
  <si>
    <t>http://publications.europa.eu/resource/authority/country/LUX</t>
  </si>
  <si>
    <t>Virginie JORON</t>
  </si>
  <si>
    <t>Stanislav POLƒå√ÅK</t>
  </si>
  <si>
    <t>Tilly METZ</t>
  </si>
  <si>
    <t>Jacek SARYUSZ-WOLSKI</t>
  </si>
  <si>
    <t>Dom√®nec RUIZ DEVESA</t>
  </si>
  <si>
    <t>Paolo BORCHIA</t>
  </si>
  <si>
    <t>Nicola DANTI</t>
  </si>
  <si>
    <t>Carlo FIDANZA</t>
  </si>
  <si>
    <t>Dino GIARRUSSO</t>
  </si>
  <si>
    <t>Alice KUHNKE</t>
  </si>
  <si>
    <t>Roberts Zƒ™LE</t>
  </si>
  <si>
    <t>http://publications.europa.eu/resource/authority/country/LVA</t>
  </si>
  <si>
    <t>Pilar DEL CASTILLO VERA</t>
  </si>
  <si>
    <t>org/1533</t>
  </si>
  <si>
    <t>Gabriel MATO</t>
  </si>
  <si>
    <t>Jos√© Ram√≥n BAUZ√Å D√çAZ</t>
  </si>
  <si>
    <t>Tom BERENDSEN</t>
  </si>
  <si>
    <t>Adina VƒÇLEAN</t>
  </si>
  <si>
    <t>org/1550</t>
  </si>
  <si>
    <t>Angelika NIEBLER</t>
  </si>
  <si>
    <t>Adri√°n V√ÅZQUEZ L√ÅZARA</t>
  </si>
  <si>
    <t>J√∂rg MEUTHEN</t>
  </si>
  <si>
    <t>Jos√© Manuel FERNANDES</t>
  </si>
  <si>
    <t>Henna VIRKKUNEN</t>
  </si>
  <si>
    <t>Georgios KYRTSOS</t>
  </si>
  <si>
    <t>Miroslav RADAƒåOVSK√ù</t>
  </si>
  <si>
    <t>Laura FERRARA</t>
  </si>
  <si>
    <t>org/3968</t>
  </si>
  <si>
    <t>Sandra KALNIETE</t>
  </si>
  <si>
    <t>Fabio Massimo CASTALDO</t>
  </si>
  <si>
    <t>Bal√°zs HIDV√âGHI</t>
  </si>
  <si>
    <t>St√©phanie YON-COURTIN</t>
  </si>
  <si>
    <t>Arba KOKALARI</t>
  </si>
  <si>
    <t>Denis NESCI</t>
  </si>
  <si>
    <t>def/ep-roles/TREASURER_CO</t>
  </si>
  <si>
    <t>Karin KARLSBRO</t>
  </si>
  <si>
    <t>Beatrice COVASSI</t>
  </si>
  <si>
    <t>Ryszard CZARNECKI</t>
  </si>
  <si>
    <t>Robert ROOS</t>
  </si>
  <si>
    <t>Katar√≠na ROTH NEVEƒéALOV√Å</t>
  </si>
  <si>
    <t>Carlos COELHO</t>
  </si>
  <si>
    <t>org/488</t>
  </si>
  <si>
    <t>M√≥nica Silvana GONZ√ÅLEZ</t>
  </si>
  <si>
    <t>Sylvia LIMMER</t>
  </si>
  <si>
    <t>Veronika VRECIONOV√Å</t>
  </si>
  <si>
    <t>Udo BULLMANN</t>
  </si>
  <si>
    <t>Abir AL-SAHLANI</t>
  </si>
  <si>
    <t>Margrete AUKEN</t>
  </si>
  <si>
    <t>org/2965</t>
  </si>
  <si>
    <t>Janina OCHOJSKA</t>
  </si>
  <si>
    <t>Isabel SANTOS</t>
  </si>
  <si>
    <t>Samira RAFAELA</t>
  </si>
  <si>
    <t>Brando BENIFEI</t>
  </si>
  <si>
    <t>Jakop G. DALUNDE</t>
  </si>
  <si>
    <t>Ciar√°n CUFFE</t>
  </si>
  <si>
    <t>Sergey LAGODINSKY</t>
  </si>
  <si>
    <t>Tomislav SOKOL</t>
  </si>
  <si>
    <t>Maria ARENA</t>
  </si>
  <si>
    <t>Caterina CHINNICI</t>
  </si>
  <si>
    <t>Laurence FARRENG</t>
  </si>
  <si>
    <t>Tatjana ≈ΩDANOKA</t>
  </si>
  <si>
    <t>Svenja HAHN</t>
  </si>
  <si>
    <t>Nacho S√ÅNCHEZ AMOR</t>
  </si>
  <si>
    <t>Carina OHLSSON</t>
  </si>
  <si>
    <t>Liudas MA≈ΩYLIS</t>
  </si>
  <si>
    <t>Jana TOOM</t>
  </si>
  <si>
    <t>Ramona STRUGARIU</t>
  </si>
  <si>
    <t>Emmanouil FRAGKOS</t>
  </si>
  <si>
    <t>Ji≈ô√≠ POSP√ç≈†IL</t>
  </si>
  <si>
    <t>Peter JAHR</t>
  </si>
  <si>
    <t>Helmut SCHOLZ</t>
  </si>
  <si>
    <t>Paulo RANGEL</t>
  </si>
  <si>
    <t>Fulvio MARTUSCIELLO</t>
  </si>
  <si>
    <t>Rosa D'AMATO</t>
  </si>
  <si>
    <t>Tiziana BEGHIN</t>
  </si>
  <si>
    <t>org/4280</t>
  </si>
  <si>
    <t>Alexandra GEESE</t>
  </si>
  <si>
    <t>Camilla LAURETI</t>
  </si>
  <si>
    <t>Lina G√ÅLVEZ</t>
  </si>
  <si>
    <t>Se√°n KELLY</t>
  </si>
  <si>
    <t>Miguel URB√ÅN CRESPO</t>
  </si>
  <si>
    <t>J√∂rgen WARBORN</t>
  </si>
  <si>
    <t>Beno√Æt LUTGEN</t>
  </si>
  <si>
    <t>Hilde VAUTMANS</t>
  </si>
  <si>
    <t>Gerolf ANNEMANS</t>
  </si>
  <si>
    <t>Nicolas BAY</t>
  </si>
  <si>
    <t>Dan NICA</t>
  </si>
  <si>
    <t>Margarida MARQUES</t>
  </si>
  <si>
    <t>Petras AU≈†TREVIƒåIUS</t>
  </si>
  <si>
    <t>Viola VON CRAMON-TAUBADEL</t>
  </si>
  <si>
    <t>Tonino PICULA</t>
  </si>
  <si>
    <t>Ville NIINIST√ñ</t>
  </si>
  <si>
    <t>W≈Çodzimierz CIMOSZEWICZ</t>
  </si>
  <si>
    <t>Riho TERRAS</t>
  </si>
  <si>
    <t>Juozas OLEKAS</t>
  </si>
  <si>
    <t>Edina T√ìTH</t>
  </si>
  <si>
    <t>Jordi CA√ëAS</t>
  </si>
  <si>
    <t>Barry ANDREWS</t>
  </si>
  <si>
    <t>Markus PIEPER</t>
  </si>
  <si>
    <t>Kostas PAPADAKIS</t>
  </si>
  <si>
    <t>Evin INCIR</t>
  </si>
  <si>
    <t>Carlos ZORRINHO</t>
  </si>
  <si>
    <t>Bernhard ZIMNIOK</t>
  </si>
  <si>
    <t>Loucas FOURLAS</t>
  </si>
  <si>
    <t>http://publications.europa.eu/resource/authority/country/CYP</t>
  </si>
  <si>
    <t>Matja≈æ NEMEC</t>
  </si>
  <si>
    <t>Javi L√ìPEZ</t>
  </si>
  <si>
    <t>Ivan Vilibor SINƒåIƒÜ</t>
  </si>
  <si>
    <t>Andrea BOCSKOR</t>
  </si>
  <si>
    <t>Eugen TOMAC</t>
  </si>
  <si>
    <t>Costas MAVRIDES</t>
  </si>
  <si>
    <t>Kosma Z≈ÅOTOWSKI</t>
  </si>
  <si>
    <t>Dorien ROOKMAKER</t>
  </si>
  <si>
    <t>Fran√ßois THIOLLET</t>
  </si>
  <si>
    <t>Maite PAGAZAURTUND√öA</t>
  </si>
  <si>
    <t>Gunnar BECK</t>
  </si>
  <si>
    <t>Charles GOERENS</t>
  </si>
  <si>
    <t>org/515</t>
  </si>
  <si>
    <t>Erik MARQUARDT</t>
  </si>
  <si>
    <t>Silvia SARDONE</t>
  </si>
  <si>
    <t>Izaskun BILBAO BARANDICA</t>
  </si>
  <si>
    <t>org/4283</t>
  </si>
  <si>
    <t>Hermann TERTSCH</t>
  </si>
  <si>
    <t>Leopoldo L√ìPEZ GIL</t>
  </si>
  <si>
    <t>Javier MORENO S√ÅNCHEZ</t>
  </si>
  <si>
    <t>Geert BOURGEOIS</t>
  </si>
  <si>
    <t>Val√©rie HAYER</t>
  </si>
  <si>
    <t>Sara MATTHIEU</t>
  </si>
  <si>
    <t>Tom VANDENDRIESSCHE</t>
  </si>
  <si>
    <t>Tom VANDENKENDELAERE</t>
  </si>
  <si>
    <t>Jaak MADISON</t>
  </si>
  <si>
    <t>Milan UHR√çK</t>
  </si>
  <si>
    <t>org/7151</t>
  </si>
  <si>
    <t>Rasa JUKNEVIƒåIENƒñ</t>
  </si>
  <si>
    <t>Guy VERHOFSTADT</t>
  </si>
  <si>
    <t>Maria GRAPINI</t>
  </si>
  <si>
    <t>Beata MAZUREK</t>
  </si>
  <si>
    <t>Anna CAVAZZINI</t>
  </si>
  <si>
    <t>Pablo ARIAS ECHEVERR√çA</t>
  </si>
  <si>
    <t>Martin HLAV√ÅƒåEK</t>
  </si>
  <si>
    <t>Sunƒçana GLAVAK</t>
  </si>
  <si>
    <t>Monika HOHLMEIER</t>
  </si>
  <si>
    <t>Daniel FREUND</t>
  </si>
  <si>
    <t>Luke Ming FLANAGAN</t>
  </si>
  <si>
    <t>Isabel GARC√çA MU√ëOZ</t>
  </si>
  <si>
    <t>Dominique BILDE</t>
  </si>
  <si>
    <t>Anna J√∫lia DON√ÅTH</t>
  </si>
  <si>
    <t>S√°ndor R√ìNAI</t>
  </si>
  <si>
    <t>Antonio L√ìPEZ-IST√öRIZ WHITE</t>
  </si>
  <si>
    <t>Sabrina PIGNEDOLI</t>
  </si>
  <si>
    <t>Anna-Michelle ASIMAKOPOULOU</t>
  </si>
  <si>
    <t>Salima YENBOU</t>
  </si>
  <si>
    <t>Billy KELLEHER</t>
  </si>
  <si>
    <t>Eleni STAVROU</t>
  </si>
  <si>
    <t>Vangelis MEIMARAKIS</t>
  </si>
  <si>
    <t>Ern≈ë SCHALLER-BAROSS</t>
  </si>
  <si>
    <t>Herv√© JUVIN</t>
  </si>
  <si>
    <t>Thomas WAITZ</t>
  </si>
  <si>
    <t>Alexander ALEXANDROV YORDANOV</t>
  </si>
  <si>
    <t>Urmas PAET</t>
  </si>
  <si>
    <t>Philippe OLIVIER</t>
  </si>
  <si>
    <t>Cristina MAESTRE</t>
  </si>
  <si>
    <t>Beata KEMPA</t>
  </si>
  <si>
    <t>Mercedes BRESSO</t>
  </si>
  <si>
    <t>Max ORVILLE</t>
  </si>
  <si>
    <t>Fran√ßois ALFONSI</t>
  </si>
  <si>
    <t>Ana COLLADO JIM√âNEZ</t>
  </si>
  <si>
    <t>Peter POLL√ÅK</t>
  </si>
  <si>
    <t>Matthias ECKE</t>
  </si>
  <si>
    <t>Jo√£o ALBUQUERQUE</t>
  </si>
  <si>
    <t>Manu PINEDA</t>
  </si>
  <si>
    <t>Isabella TOVAGLIERI</t>
  </si>
  <si>
    <t>Dimitrios PAPADIMOULIS</t>
  </si>
  <si>
    <t>Jan OLBRYCHT</t>
  </si>
  <si>
    <t>Marek BELKA</t>
  </si>
  <si>
    <t>Rasmus ANDRESEN</t>
  </si>
  <si>
    <t>Eider GARDIAZABAL RUBIAL</t>
  </si>
  <si>
    <t>Tineke STRIK</t>
  </si>
  <si>
    <t>Gy√∂rgy H√ñLV√âNYI</t>
  </si>
  <si>
    <t>Katarina BARLEY</t>
  </si>
  <si>
    <t>Katalin CSEH</t>
  </si>
  <si>
    <t>Thijs REUTEN</t>
  </si>
  <si>
    <t>Klemen GRO≈†ELJ</t>
  </si>
  <si>
    <t>Herbert DORFMANN</t>
  </si>
  <si>
    <t>Clara AGUILERA</t>
  </si>
  <si>
    <t>Tiemo W√ñLKEN</t>
  </si>
  <si>
    <t>Atidzhe ALIEVA-VELI</t>
  </si>
  <si>
    <t>Sandra PEREIRA</t>
  </si>
  <si>
    <t>Isabel CARVALHAIS</t>
  </si>
  <si>
    <t>Robert BIEDRO≈É</t>
  </si>
  <si>
    <t>Patryk JAKI</t>
  </si>
  <si>
    <t>Niyazi KIZILY√úREK</t>
  </si>
  <si>
    <t>Ivan DAVID</t>
  </si>
  <si>
    <t>Georg MAYER</t>
  </si>
  <si>
    <t>Susanna CECCARDI</t>
  </si>
  <si>
    <t>Jorge BUXAD√â VILLALBA</t>
  </si>
  <si>
    <t>Jean-Lin LACAPELLE</t>
  </si>
  <si>
    <t>Cyrus ENGERER</t>
  </si>
  <si>
    <t>Konstantinos ARVANITIS</t>
  </si>
  <si>
    <t>Andr√°s GY√úRK</t>
  </si>
  <si>
    <t>Nicol√°s GONZ√ÅLEZ CASARES</t>
  </si>
  <si>
    <t>Franc BOGOVIƒå</t>
  </si>
  <si>
    <t>Margarita DE LA PISA CARRI√ìN</t>
  </si>
  <si>
    <t>L√≠via J√ÅR√ìKA</t>
  </si>
  <si>
    <t>Hel√©ne FRITZON</t>
  </si>
  <si>
    <t>Chris MACMANUS</t>
  </si>
  <si>
    <t>Mario FURORE</t>
  </si>
  <si>
    <t>Gianna GANCIA</t>
  </si>
  <si>
    <t>Vilija BLINKEVIƒåI≈™Tƒñ</t>
  </si>
  <si>
    <t>Francesca PEPPUCCI</t>
  </si>
  <si>
    <t>Mark√©ta GREGOROV√Å</t>
  </si>
  <si>
    <t>Pierrette HERZBERGER-FOFANA</t>
  </si>
  <si>
    <t>Marco ZANNI</t>
  </si>
  <si>
    <t>Jordan BARDELLA</t>
  </si>
  <si>
    <t>Rainer WIELAND</t>
  </si>
  <si>
    <t>Malin BJ√ñRK</t>
  </si>
  <si>
    <t>Maria Angela DANZ√å</t>
  </si>
  <si>
    <t>Esther DE LANGE</t>
  </si>
  <si>
    <t>Caroline ROOSE</t>
  </si>
  <si>
    <t>Michael BLOSS</t>
  </si>
  <si>
    <t>El≈ºbieta RAFALSKA</t>
  </si>
  <si>
    <t>Valter FLEGO</t>
  </si>
  <si>
    <t>C√©sar LUENA</t>
  </si>
  <si>
    <t>Cornelia ERNST</t>
  </si>
  <si>
    <t>Krzysztof JURGIEL</t>
  </si>
  <si>
    <t>Paola GHIDONI</t>
  </si>
  <si>
    <t>Mazaly AGUILAR</t>
  </si>
  <si>
    <t>Anna ZALEWSKA</t>
  </si>
  <si>
    <t>Janusz WOJCIECHOWSKI</t>
  </si>
  <si>
    <t>Elena KOUNTOURA</t>
  </si>
  <si>
    <t>Martine KEMP</t>
  </si>
  <si>
    <t>Andrey SLABAKOV</t>
  </si>
  <si>
    <t>Sylvie GUILLAUME</t>
  </si>
  <si>
    <t>Witold PAHL</t>
  </si>
  <si>
    <t>Gwendoline DELBOS-CORFIELD</t>
  </si>
  <si>
    <t>Irena JOVEVA</t>
  </si>
  <si>
    <t>Petros KOKKALIS</t>
  </si>
  <si>
    <t>Ewa KOPACZ</t>
  </si>
  <si>
    <t>Niels FUGLSANG</t>
  </si>
  <si>
    <t>Tsvetelina PENKOVA</t>
  </si>
  <si>
    <t>Isabella ADINOLFI</t>
  </si>
  <si>
    <t>Alicia HOMS GINEL</t>
  </si>
  <si>
    <t>Eva-Maria Alexandrova POPTCHEVA</t>
  </si>
  <si>
    <t>Mar√≠a Soraya RODR√çGUEZ RAMOS</t>
  </si>
  <si>
    <t>Hannes HEIDE</t>
  </si>
  <si>
    <t>Elisabetta GUALMINI</t>
  </si>
  <si>
    <t>M√°rton GY√ñNGY√ñSI</t>
  </si>
  <si>
    <t>Birgit SIPPEL</t>
  </si>
  <si>
    <t>Fran√ßois-Xavier BELLAMY</t>
  </si>
  <si>
    <t>Marlene MORTLER</t>
  </si>
  <si>
    <t>Axel VOSS</t>
  </si>
  <si>
    <t>Maria WALSH</t>
  </si>
  <si>
    <t>L√≠dia PEREIRA</t>
  </si>
  <si>
    <t>Mohammed CHAHIM</t>
  </si>
  <si>
    <t>Daniel BUDA</t>
  </si>
  <si>
    <t>Paolo DE CASTRO</t>
  </si>
  <si>
    <t>Bogdan RZO≈ÉCA</t>
  </si>
  <si>
    <t>Vlad GHEORGHE</t>
  </si>
  <si>
    <t>Magdalena ADAMOWICZ</t>
  </si>
  <si>
    <t>Filip DE MAN</t>
  </si>
  <si>
    <t>Ralf SEEKATZ</t>
  </si>
  <si>
    <t>Michaela ≈†OJDROV√Å</t>
  </si>
  <si>
    <t>Dominik TARCZY≈ÉSKI</t>
  </si>
  <si>
    <t>Andor DELI</t>
  </si>
  <si>
    <t>Pernille WEISS-EHLER</t>
  </si>
  <si>
    <t>Marie DAUCHY</t>
  </si>
  <si>
    <t>Marina MESURE</t>
  </si>
  <si>
    <t>Maria Veronica ROSSI</t>
  </si>
  <si>
    <t>Katrin LANGENSIEPEN</t>
  </si>
  <si>
    <t>Manfred WEBER</t>
  </si>
  <si>
    <t>Beata SZYD≈ÅO</t>
  </si>
  <si>
    <t>Jadwiga WI≈öNIEWSKA</t>
  </si>
  <si>
    <t>Isabel WISELER-LIMA</t>
  </si>
  <si>
    <t>Milan ZVER</t>
  </si>
  <si>
    <t>Ib√°n GARC√çA DEL BLANCO</t>
  </si>
  <si>
    <t>Christian EHLER</t>
  </si>
  <si>
    <t>Sara SKYTTEDAL</t>
  </si>
  <si>
    <t>Isabel BENJUMEA BENJUMEA</t>
  </si>
  <si>
    <t>Ulrike M√úLLER</t>
  </si>
  <si>
    <t>Beno√Æt BITEAU</t>
  </si>
  <si>
    <t>Christine ANDERSON</t>
  </si>
  <si>
    <t>Elsi KATAINEN</t>
  </si>
  <si>
    <t>Dacian CIOLO≈û</t>
  </si>
  <si>
    <t>Anne SANDER</t>
  </si>
  <si>
    <t>Fabienne KELLER</t>
  </si>
  <si>
    <t>org/994</t>
  </si>
  <si>
    <t>Marcel KOLAJA</t>
  </si>
  <si>
    <t>Morten PETERSEN</t>
  </si>
  <si>
    <t>Maria da Gra√ßa CARVALHO</t>
  </si>
  <si>
    <t>Annika BRUNA</t>
  </si>
  <si>
    <t>Radka MAXOV√Å</t>
  </si>
  <si>
    <t>Harald VILIMSKY</t>
  </si>
  <si>
    <t>Petri SARVAMAA</t>
  </si>
  <si>
    <t>Damian BOESELAGER</t>
  </si>
  <si>
    <t>Tam√°s DEUTSCH</t>
  </si>
  <si>
    <t>Johan VAN OVERTVELDT</t>
  </si>
  <si>
    <t>Marie-Pierre VEDRENNE</t>
  </si>
  <si>
    <t>Monica SEMEDO</t>
  </si>
  <si>
    <t>Catherine CHABAUD</t>
  </si>
  <si>
    <t>Norbert LINS</t>
  </si>
  <si>
    <t>Juan Ignacio ZOIDO √ÅLVAREZ</t>
  </si>
  <si>
    <t>Asger CHRISTENSEN</t>
  </si>
  <si>
    <t>Jan-Christoph OETJEN</t>
  </si>
  <si>
    <t>Lydie MASSARD</t>
  </si>
  <si>
    <t>Clara PONSAT√ç OBIOLS</t>
  </si>
  <si>
    <t>Francesca DONATO</t>
  </si>
  <si>
    <t>Teuvo HAKKARAINEN</t>
  </si>
  <si>
    <t>Sirpa PIETIK√ÑINEN</t>
  </si>
  <si>
    <t>Emmanouil KEFALOGIANNIS</t>
  </si>
  <si>
    <t>Andrey KOVATCHEV</t>
  </si>
  <si>
    <t>Maxette PIRBAKAS</t>
  </si>
  <si>
    <t>Michal WIEZIK</t>
  </si>
  <si>
    <t>Karsten LUCKE</t>
  </si>
  <si>
    <t>Deirdre CLUNE</t>
  </si>
  <si>
    <t>Ska KELLER</t>
  </si>
  <si>
    <t>def/ep-roles/PRESIDENT_CO</t>
  </si>
  <si>
    <t>Nils TORVALDS</t>
  </si>
  <si>
    <t>Pierre KARLESKIND</t>
  </si>
  <si>
    <t>Niclas HERBST</t>
  </si>
  <si>
    <t>Sara CERDAS</t>
  </si>
  <si>
    <t>Virginijus SINKEVIƒåIUS</t>
  </si>
  <si>
    <t>Francisco Jos√© MILL√ÅN MON</t>
  </si>
  <si>
    <t>Carmen AVRAM</t>
  </si>
  <si>
    <t>Rosanna CONTE</t>
  </si>
  <si>
    <t>Colm MARKEY</t>
  </si>
  <si>
    <t>Predrag Fred MATIƒÜ</t>
  </si>
  <si>
    <t>Cl√°udia MONTEIRO DE AGUIAR</t>
  </si>
  <si>
    <t>France JAMET</t>
  </si>
  <si>
    <t>Dita CHARANZOV√Å</t>
  </si>
  <si>
    <t>Joachim KUHS</t>
  </si>
  <si>
    <t>Angel DZHAMBAZKI</t>
  </si>
  <si>
    <t>Ignazio CORRAO</t>
  </si>
  <si>
    <t>Marek Pawe≈Ç BALT</t>
  </si>
  <si>
    <t>Francisco GUERREIRO</t>
  </si>
  <si>
    <t>Pietro BARTOLO</t>
  </si>
  <si>
    <t>Marco CAMPOMENOSI</t>
  </si>
  <si>
    <t>Anja HAGA</t>
  </si>
  <si>
    <t>Mairead MCGUINNESS</t>
  </si>
  <si>
    <t>Mauri PEKKARINEN</t>
  </si>
  <si>
    <t>Henrike HAHN</t>
  </si>
  <si>
    <t>Emmanuel MAUREL</t>
  </si>
  <si>
    <t>Gheorghe FALCƒÇ</t>
  </si>
  <si>
    <t>Antonius MANDERS</t>
  </si>
  <si>
    <t>org/2966</t>
  </si>
  <si>
    <t>Markus FERBER</t>
  </si>
  <si>
    <t>org/514</t>
  </si>
  <si>
    <t>Bogus≈Çaw LIBERADZKI</t>
  </si>
  <si>
    <t>org/509</t>
  </si>
  <si>
    <t>Petar VITANOV</t>
  </si>
  <si>
    <t>Gianantonio DA RE</t>
  </si>
  <si>
    <t>Ivo HRISTOV</t>
  </si>
  <si>
    <t>Reinhard B√úTIKOFER</t>
  </si>
  <si>
    <t>Pietro FIOCCHI</t>
  </si>
  <si>
    <t>Mikul√°≈° PEKSA</t>
  </si>
  <si>
    <t>Ivars IJABS</t>
  </si>
  <si>
    <t>Josianne CUTAJAR</t>
  </si>
  <si>
    <t>Roman HAIDER</t>
  </si>
  <si>
    <t>Thomas RUDNER</t>
  </si>
  <si>
    <t>Tomasz Piotr PORƒòBA</t>
  </si>
  <si>
    <t>Cristian TERHE≈û</t>
  </si>
  <si>
    <t>EP_Acronym</t>
  </si>
  <si>
    <t>EP_Party</t>
  </si>
  <si>
    <t>EPP</t>
  </si>
  <si>
    <t>Party</t>
  </si>
  <si>
    <t>Renew Europe</t>
  </si>
  <si>
    <t>Greens/EFA</t>
  </si>
  <si>
    <t>S&amp;D</t>
  </si>
  <si>
    <t>The Left</t>
  </si>
  <si>
    <t>ECR</t>
  </si>
  <si>
    <t>PfE</t>
  </si>
  <si>
    <t>ID</t>
  </si>
  <si>
    <t>Non-attached</t>
  </si>
  <si>
    <t>ESN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</si>
</sst>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ables/table1.xml><?xml version="1.0" encoding="utf-8"?>
<table xmlns="http://purl.oclc.org/ooxml/spreadsheetml/main" id="2" name="Table2" displayName="Table2" ref="A1:C44" totalsRowShown="0">
  <autoFilter ref="A1:C44"/>
  <tableColumns count="3">
    <tableColumn id="1" name="eu_political_group_id"/>
    <tableColumn id="2" name="EP_Acronym"/>
    <tableColumn id="3" name="EP_Party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86"/>
  <sheetViews>
    <sheetView tabSelected="1" topLeftCell="A376" workbookViewId="0">
      <selection activeCell="D386" sqref="D386"/>
    </sheetView>
  </sheetViews>
  <sheetFormatPr baseColWidth="10" defaultRowHeight="16" x14ac:dyDescent="0.2"/>
  <cols>
    <col min="2" max="2" width="27.5" customWidth="1"/>
    <col min="8" max="8" width="21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575</v>
      </c>
    </row>
    <row r="2" spans="1:9" x14ac:dyDescent="0.2">
      <c r="A2">
        <v>118859</v>
      </c>
      <c r="B2" t="s">
        <v>8</v>
      </c>
      <c r="C2" t="s">
        <v>9</v>
      </c>
      <c r="D2" t="s">
        <v>10</v>
      </c>
      <c r="E2" t="s">
        <v>11</v>
      </c>
      <c r="F2" s="1" t="d">
        <v>2019-07-02</v>
      </c>
      <c r="G2" s="1" t="d">
        <v>2024-07-15</v>
      </c>
      <c r="H2" t="str">
        <f>VLOOKUP(D2,Table2[],3,FALSE)</f>
        <v>EPP</v>
      </c>
    </row>
    <row r="3" spans="1:9" x14ac:dyDescent="0.2">
      <c r="A3">
        <v>28298</v>
      </c>
      <c r="B3" t="s">
        <v>12</v>
      </c>
      <c r="C3" t="s">
        <v>13</v>
      </c>
      <c r="D3" t="s">
        <v>14</v>
      </c>
      <c r="E3" t="s">
        <v>11</v>
      </c>
      <c r="F3" s="1" t="d">
        <v>2004-07-20</v>
      </c>
      <c r="G3" s="1" t="d">
        <v>2009-07-13</v>
      </c>
      <c r="H3" t="str">
        <f>VLOOKUP(D3,Table2[],3,FALSE)</f>
        <v>S&amp;D</v>
      </c>
    </row>
    <row r="4" spans="1:9" x14ac:dyDescent="0.2">
      <c r="A4">
        <v>197781</v>
      </c>
      <c r="B4" t="s">
        <v>15</v>
      </c>
      <c r="C4" t="s">
        <v>16</v>
      </c>
      <c r="D4" t="s">
        <v>17</v>
      </c>
      <c r="E4" t="s">
        <v>18</v>
      </c>
      <c r="F4" s="1" t="d">
        <v>2024-07-16</v>
      </c>
      <c r="H4" t="str">
        <f>VLOOKUP(D4,Table2[],3,FALSE)</f>
        <v>Renew Europe</v>
      </c>
    </row>
    <row r="5" spans="1:9" x14ac:dyDescent="0.2">
      <c r="A5">
        <v>103381</v>
      </c>
      <c r="B5" t="s">
        <v>19</v>
      </c>
      <c r="C5" t="s">
        <v>20</v>
      </c>
      <c r="D5" t="s">
        <v>21</v>
      </c>
      <c r="E5" t="s">
        <v>11</v>
      </c>
      <c r="F5" s="1" t="d">
        <v>2014-07-01</v>
      </c>
      <c r="G5" s="1" t="d">
        <v>2019-07-01</v>
      </c>
      <c r="H5" t="str">
        <f>VLOOKUP(D5,Table2[],3,FALSE)</f>
        <v>Greens/EFA</v>
      </c>
    </row>
    <row r="6" spans="1:9" x14ac:dyDescent="0.2">
      <c r="A6">
        <v>236051</v>
      </c>
      <c r="B6" t="s">
        <v>22</v>
      </c>
      <c r="C6" t="s">
        <v>23</v>
      </c>
      <c r="D6" t="s">
        <v>24</v>
      </c>
      <c r="E6" t="s">
        <v>11</v>
      </c>
      <c r="F6" s="1" t="d">
        <v>2022-07-29</v>
      </c>
      <c r="G6" s="1" t="d">
        <v>2024-07-15</v>
      </c>
      <c r="H6" t="str">
        <f>VLOOKUP(D6,Table2[],3,FALSE)</f>
        <v>ID</v>
      </c>
    </row>
    <row r="7" spans="1:9" x14ac:dyDescent="0.2">
      <c r="A7">
        <v>197529</v>
      </c>
      <c r="B7" t="s">
        <v>25</v>
      </c>
      <c r="C7" t="s">
        <v>23</v>
      </c>
      <c r="D7" t="s">
        <v>26</v>
      </c>
      <c r="E7" t="s">
        <v>11</v>
      </c>
      <c r="F7" s="1" t="d">
        <v>2020-12-18</v>
      </c>
      <c r="G7" s="1" t="d">
        <v>2024-07-15</v>
      </c>
      <c r="H7" t="str">
        <f>VLOOKUP(D7,Table2[],3,FALSE)</f>
        <v>The Left</v>
      </c>
    </row>
    <row r="8" spans="1:9" x14ac:dyDescent="0.2">
      <c r="A8">
        <v>24942</v>
      </c>
      <c r="B8" t="s">
        <v>27</v>
      </c>
      <c r="C8" t="s">
        <v>13</v>
      </c>
      <c r="D8" t="s">
        <v>28</v>
      </c>
      <c r="E8" t="s">
        <v>11</v>
      </c>
      <c r="F8" s="1" t="d">
        <v>2022-09-05</v>
      </c>
      <c r="G8" s="1" t="d">
        <v>2024-07-15</v>
      </c>
      <c r="H8" t="str">
        <f>VLOOKUP(D8,Table2[],3,FALSE)</f>
        <v>Greens/EFA</v>
      </c>
    </row>
    <row r="9" spans="1:9" x14ac:dyDescent="0.2">
      <c r="A9">
        <v>197711</v>
      </c>
      <c r="B9" t="s">
        <v>29</v>
      </c>
      <c r="C9" t="s">
        <v>13</v>
      </c>
      <c r="D9" t="s">
        <v>30</v>
      </c>
      <c r="E9" t="s">
        <v>31</v>
      </c>
      <c r="F9" s="1" t="d">
        <v>2024-07-16</v>
      </c>
      <c r="H9" t="str">
        <f>VLOOKUP(D9,Table2[],3,FALSE)</f>
        <v>EPP</v>
      </c>
    </row>
    <row r="10" spans="1:9" x14ac:dyDescent="0.2">
      <c r="A10">
        <v>2341</v>
      </c>
      <c r="B10" t="s">
        <v>32</v>
      </c>
      <c r="C10" t="s">
        <v>20</v>
      </c>
      <c r="D10" t="s">
        <v>33</v>
      </c>
      <c r="E10" t="s">
        <v>11</v>
      </c>
      <c r="F10" s="1" t="d">
        <v>2009-07-14</v>
      </c>
      <c r="G10" s="1" t="d">
        <v>2009-07-23</v>
      </c>
      <c r="H10" t="str">
        <f>VLOOKUP(D10,Table2[],3,FALSE)</f>
        <v>EPP</v>
      </c>
    </row>
    <row r="11" spans="1:9" x14ac:dyDescent="0.2">
      <c r="A11">
        <v>197773</v>
      </c>
      <c r="B11" t="s">
        <v>34</v>
      </c>
      <c r="C11" t="s">
        <v>16</v>
      </c>
      <c r="D11" t="s">
        <v>35</v>
      </c>
      <c r="E11" t="s">
        <v>18</v>
      </c>
      <c r="F11" s="1" t="d">
        <v>2019-07-02</v>
      </c>
      <c r="G11" s="1" t="d">
        <v>2024-07-15</v>
      </c>
      <c r="H11" t="str">
        <f>VLOOKUP(D11,Table2[],3,FALSE)</f>
        <v>ECR</v>
      </c>
    </row>
    <row r="12" spans="1:9" x14ac:dyDescent="0.2">
      <c r="A12">
        <v>197805</v>
      </c>
      <c r="B12" t="s">
        <v>36</v>
      </c>
      <c r="C12" t="s">
        <v>37</v>
      </c>
      <c r="D12" t="s">
        <v>38</v>
      </c>
      <c r="E12" t="s">
        <v>11</v>
      </c>
      <c r="F12" s="1" t="d">
        <v>2019-07-02</v>
      </c>
      <c r="G12" s="1" t="d">
        <v>2020-12-17</v>
      </c>
      <c r="H12" t="str">
        <f>VLOOKUP(D12,Table2[],3,FALSE)</f>
        <v>The Left</v>
      </c>
    </row>
    <row r="13" spans="1:9" x14ac:dyDescent="0.2">
      <c r="A13">
        <v>197628</v>
      </c>
      <c r="B13" t="s">
        <v>39</v>
      </c>
      <c r="C13" t="s">
        <v>23</v>
      </c>
      <c r="D13" t="s">
        <v>40</v>
      </c>
      <c r="E13" t="s">
        <v>18</v>
      </c>
      <c r="F13" s="1" t="d">
        <v>2024-07-16</v>
      </c>
      <c r="H13" t="str">
        <f>VLOOKUP(D13,Table2[],3,FALSE)</f>
        <v>PfE</v>
      </c>
    </row>
    <row r="14" spans="1:9" x14ac:dyDescent="0.2">
      <c r="A14">
        <v>197771</v>
      </c>
      <c r="B14" t="s">
        <v>41</v>
      </c>
      <c r="C14" t="s">
        <v>42</v>
      </c>
      <c r="D14" t="s">
        <v>10</v>
      </c>
      <c r="E14" t="s">
        <v>11</v>
      </c>
      <c r="F14" s="1" t="d">
        <v>2019-07-02</v>
      </c>
      <c r="G14" s="1" t="d">
        <v>2024-07-15</v>
      </c>
      <c r="H14" t="str">
        <f>VLOOKUP(D14,Table2[],3,FALSE)</f>
        <v>EPP</v>
      </c>
    </row>
    <row r="15" spans="1:9" x14ac:dyDescent="0.2">
      <c r="A15">
        <v>1927</v>
      </c>
      <c r="B15" t="s">
        <v>43</v>
      </c>
      <c r="C15" t="s">
        <v>20</v>
      </c>
      <c r="D15" t="s">
        <v>33</v>
      </c>
      <c r="E15" t="s">
        <v>18</v>
      </c>
      <c r="F15" s="1" t="d">
        <v>2009-07-24</v>
      </c>
      <c r="G15" s="1" t="d">
        <v>2014-06-30</v>
      </c>
      <c r="H15" t="str">
        <f>VLOOKUP(D15,Table2[],3,FALSE)</f>
        <v>EPP</v>
      </c>
    </row>
    <row r="16" spans="1:9" x14ac:dyDescent="0.2">
      <c r="A16">
        <v>96725</v>
      </c>
      <c r="B16" t="s">
        <v>44</v>
      </c>
      <c r="C16" t="s">
        <v>16</v>
      </c>
      <c r="D16" t="s">
        <v>28</v>
      </c>
      <c r="E16" t="s">
        <v>31</v>
      </c>
      <c r="F16" s="1" t="d">
        <v>2019-07-02</v>
      </c>
      <c r="G16" s="1" t="d">
        <v>2024-07-15</v>
      </c>
      <c r="H16" t="str">
        <f>VLOOKUP(D16,Table2[],3,FALSE)</f>
        <v>Greens/EFA</v>
      </c>
    </row>
    <row r="17" spans="1:8" x14ac:dyDescent="0.2">
      <c r="A17">
        <v>124929</v>
      </c>
      <c r="B17" t="s">
        <v>45</v>
      </c>
      <c r="C17" t="s">
        <v>42</v>
      </c>
      <c r="D17" t="s">
        <v>10</v>
      </c>
      <c r="E17" t="s">
        <v>11</v>
      </c>
      <c r="F17" s="1" t="d">
        <v>2019-07-02</v>
      </c>
      <c r="G17" s="1" t="d">
        <v>2024-07-15</v>
      </c>
      <c r="H17" t="str">
        <f>VLOOKUP(D17,Table2[],3,FALSE)</f>
        <v>EPP</v>
      </c>
    </row>
    <row r="18" spans="1:8" x14ac:dyDescent="0.2">
      <c r="A18">
        <v>197677</v>
      </c>
      <c r="B18" t="s">
        <v>46</v>
      </c>
      <c r="C18" t="s">
        <v>47</v>
      </c>
      <c r="D18" t="s">
        <v>48</v>
      </c>
      <c r="E18" t="s">
        <v>11</v>
      </c>
      <c r="F18" s="1" t="d">
        <v>2024-07-16</v>
      </c>
      <c r="H18" t="str">
        <f>VLOOKUP(D18,Table2[],3,FALSE)</f>
        <v>S&amp;D</v>
      </c>
    </row>
    <row r="19" spans="1:8" x14ac:dyDescent="0.2">
      <c r="A19">
        <v>197398</v>
      </c>
      <c r="B19" t="s">
        <v>49</v>
      </c>
      <c r="C19" t="s">
        <v>50</v>
      </c>
      <c r="D19" t="s">
        <v>51</v>
      </c>
      <c r="E19" t="s">
        <v>11</v>
      </c>
      <c r="F19" s="1" t="d">
        <v>2024-07-16</v>
      </c>
      <c r="H19" t="str">
        <f>VLOOKUP(D19,Table2[],3,FALSE)</f>
        <v>Greens/EFA</v>
      </c>
    </row>
    <row r="20" spans="1:8" x14ac:dyDescent="0.2">
      <c r="A20">
        <v>238639</v>
      </c>
      <c r="B20" t="s">
        <v>52</v>
      </c>
      <c r="C20" t="s">
        <v>50</v>
      </c>
      <c r="D20" t="s">
        <v>35</v>
      </c>
      <c r="E20" t="s">
        <v>11</v>
      </c>
      <c r="F20" s="1" t="d">
        <v>2022-10-11</v>
      </c>
      <c r="G20" s="1" t="d">
        <v>2024-07-15</v>
      </c>
      <c r="H20" t="str">
        <f>VLOOKUP(D20,Table2[],3,FALSE)</f>
        <v>ECR</v>
      </c>
    </row>
    <row r="21" spans="1:8" x14ac:dyDescent="0.2">
      <c r="A21">
        <v>192635</v>
      </c>
      <c r="B21" t="s">
        <v>53</v>
      </c>
      <c r="C21" t="s">
        <v>54</v>
      </c>
      <c r="D21" t="s">
        <v>55</v>
      </c>
      <c r="E21" t="s">
        <v>11</v>
      </c>
      <c r="F21" s="1" t="d">
        <v>2018-04-17</v>
      </c>
      <c r="G21" s="1" t="d">
        <v>2019-07-01</v>
      </c>
      <c r="H21" t="str">
        <f>VLOOKUP(D21,Table2[],3,FALSE)</f>
        <v>ID</v>
      </c>
    </row>
    <row r="22" spans="1:8" x14ac:dyDescent="0.2">
      <c r="A22">
        <v>125023</v>
      </c>
      <c r="B22" t="s">
        <v>56</v>
      </c>
      <c r="C22" t="s">
        <v>16</v>
      </c>
      <c r="D22" t="s">
        <v>57</v>
      </c>
      <c r="E22" t="s">
        <v>18</v>
      </c>
      <c r="F22" s="1" t="d">
        <v>2015-12-15</v>
      </c>
      <c r="G22" s="1" t="d">
        <v>2019-07-01</v>
      </c>
      <c r="H22" t="str">
        <f>VLOOKUP(D22,Table2[],3,FALSE)</f>
        <v>The Left</v>
      </c>
    </row>
    <row r="23" spans="1:8" x14ac:dyDescent="0.2">
      <c r="A23">
        <v>197408</v>
      </c>
      <c r="B23" t="s">
        <v>58</v>
      </c>
      <c r="C23" t="s">
        <v>20</v>
      </c>
      <c r="D23" t="s">
        <v>10</v>
      </c>
      <c r="E23" t="s">
        <v>11</v>
      </c>
      <c r="F23" s="1" t="d">
        <v>2019-07-02</v>
      </c>
      <c r="G23" s="1" t="d">
        <v>2024-07-15</v>
      </c>
      <c r="H23" t="str">
        <f>VLOOKUP(D23,Table2[],3,FALSE)</f>
        <v>EPP</v>
      </c>
    </row>
    <row r="24" spans="1:8" x14ac:dyDescent="0.2">
      <c r="A24">
        <v>197680</v>
      </c>
      <c r="B24" t="s">
        <v>59</v>
      </c>
      <c r="C24" t="s">
        <v>23</v>
      </c>
      <c r="D24" t="s">
        <v>24</v>
      </c>
      <c r="E24" t="s">
        <v>11</v>
      </c>
      <c r="F24" s="1" t="d">
        <v>2019-07-02</v>
      </c>
      <c r="G24" s="1" t="d">
        <v>2024-07-15</v>
      </c>
      <c r="H24" t="str">
        <f>VLOOKUP(D24,Table2[],3,FALSE)</f>
        <v>ID</v>
      </c>
    </row>
    <row r="25" spans="1:8" x14ac:dyDescent="0.2">
      <c r="A25">
        <v>197571</v>
      </c>
      <c r="B25" t="s">
        <v>60</v>
      </c>
      <c r="C25" t="s">
        <v>61</v>
      </c>
      <c r="D25" t="s">
        <v>38</v>
      </c>
      <c r="E25" t="s">
        <v>31</v>
      </c>
      <c r="F25" s="1" t="d">
        <v>2019-07-02</v>
      </c>
      <c r="G25" s="1" t="d">
        <v>2020-12-17</v>
      </c>
      <c r="H25" t="str">
        <f>VLOOKUP(D25,Table2[],3,FALSE)</f>
        <v>The Left</v>
      </c>
    </row>
    <row r="26" spans="1:8" x14ac:dyDescent="0.2">
      <c r="A26">
        <v>197473</v>
      </c>
      <c r="B26" t="s">
        <v>62</v>
      </c>
      <c r="C26" t="s">
        <v>20</v>
      </c>
      <c r="D26" t="s">
        <v>30</v>
      </c>
      <c r="E26" t="s">
        <v>11</v>
      </c>
      <c r="F26" s="1" t="d">
        <v>2024-07-16</v>
      </c>
      <c r="H26" t="str">
        <f>VLOOKUP(D26,Table2[],3,FALSE)</f>
        <v>EPP</v>
      </c>
    </row>
    <row r="27" spans="1:8" x14ac:dyDescent="0.2">
      <c r="A27">
        <v>197731</v>
      </c>
      <c r="B27" t="s">
        <v>63</v>
      </c>
      <c r="C27" t="s">
        <v>64</v>
      </c>
      <c r="D27" t="s">
        <v>26</v>
      </c>
      <c r="E27" t="s">
        <v>11</v>
      </c>
      <c r="F27" s="1" t="d">
        <v>2020-12-18</v>
      </c>
      <c r="G27" s="1" t="d">
        <v>2024-07-15</v>
      </c>
      <c r="H27" t="str">
        <f>VLOOKUP(D27,Table2[],3,FALSE)</f>
        <v>The Left</v>
      </c>
    </row>
    <row r="28" spans="1:8" x14ac:dyDescent="0.2">
      <c r="A28">
        <v>197770</v>
      </c>
      <c r="B28" t="s">
        <v>65</v>
      </c>
      <c r="C28" t="s">
        <v>42</v>
      </c>
      <c r="D28" t="s">
        <v>66</v>
      </c>
      <c r="E28" t="s">
        <v>11</v>
      </c>
      <c r="F28" s="1" t="d">
        <v>2019-07-02</v>
      </c>
      <c r="G28" s="1" t="d">
        <v>2024-07-15</v>
      </c>
      <c r="H28" t="str">
        <f>VLOOKUP(D28,Table2[],3,FALSE)</f>
        <v>Renew Europe</v>
      </c>
    </row>
    <row r="29" spans="1:8" x14ac:dyDescent="0.2">
      <c r="A29">
        <v>96779</v>
      </c>
      <c r="B29" t="s">
        <v>67</v>
      </c>
      <c r="C29" t="s">
        <v>68</v>
      </c>
      <c r="D29" t="s">
        <v>10</v>
      </c>
      <c r="E29" t="s">
        <v>11</v>
      </c>
      <c r="F29" s="1" t="d">
        <v>2019-07-02</v>
      </c>
      <c r="G29" s="1" t="d">
        <v>2024-07-15</v>
      </c>
      <c r="H29" t="str">
        <f>VLOOKUP(D29,Table2[],3,FALSE)</f>
        <v>EPP</v>
      </c>
    </row>
    <row r="30" spans="1:8" x14ac:dyDescent="0.2">
      <c r="A30">
        <v>197767</v>
      </c>
      <c r="B30" t="s">
        <v>69</v>
      </c>
      <c r="C30" t="s">
        <v>42</v>
      </c>
      <c r="D30" t="s">
        <v>35</v>
      </c>
      <c r="E30" t="s">
        <v>18</v>
      </c>
      <c r="F30" s="1" t="d">
        <v>2019-07-02</v>
      </c>
      <c r="G30" s="1" t="d">
        <v>2024-07-15</v>
      </c>
      <c r="H30" t="str">
        <f>VLOOKUP(D30,Table2[],3,FALSE)</f>
        <v>ECR</v>
      </c>
    </row>
    <row r="31" spans="1:8" x14ac:dyDescent="0.2">
      <c r="A31">
        <v>88715</v>
      </c>
      <c r="B31" t="s">
        <v>70</v>
      </c>
      <c r="C31" t="s">
        <v>71</v>
      </c>
      <c r="D31" t="s">
        <v>38</v>
      </c>
      <c r="E31" t="s">
        <v>11</v>
      </c>
      <c r="F31" s="1" t="d">
        <v>2019-07-02</v>
      </c>
      <c r="G31" s="1" t="d">
        <v>2020-12-17</v>
      </c>
      <c r="H31" t="str">
        <f>VLOOKUP(D31,Table2[],3,FALSE)</f>
        <v>The Left</v>
      </c>
    </row>
    <row r="32" spans="1:8" x14ac:dyDescent="0.2">
      <c r="A32">
        <v>96830</v>
      </c>
      <c r="B32" t="s">
        <v>72</v>
      </c>
      <c r="C32" t="s">
        <v>73</v>
      </c>
      <c r="D32" t="s">
        <v>33</v>
      </c>
      <c r="E32" t="s">
        <v>11</v>
      </c>
      <c r="F32" s="1" t="d">
        <v>2009-07-14</v>
      </c>
      <c r="G32" s="1" t="d">
        <v>2009-09-15</v>
      </c>
      <c r="H32" t="str">
        <f>VLOOKUP(D32,Table2[],3,FALSE)</f>
        <v>EPP</v>
      </c>
    </row>
    <row r="33" spans="1:8" x14ac:dyDescent="0.2">
      <c r="A33">
        <v>125046</v>
      </c>
      <c r="B33" t="s">
        <v>74</v>
      </c>
      <c r="C33" t="s">
        <v>13</v>
      </c>
      <c r="D33" t="s">
        <v>75</v>
      </c>
      <c r="E33" t="s">
        <v>11</v>
      </c>
      <c r="F33" s="1" t="d">
        <v>2014-07-01</v>
      </c>
      <c r="G33" s="1" t="d">
        <v>2019-07-01</v>
      </c>
      <c r="H33" t="str">
        <f>VLOOKUP(D33,Table2[],3,FALSE)</f>
        <v>S&amp;D</v>
      </c>
    </row>
    <row r="34" spans="1:8" x14ac:dyDescent="0.2">
      <c r="A34">
        <v>197839</v>
      </c>
      <c r="B34" t="s">
        <v>76</v>
      </c>
      <c r="C34" t="s">
        <v>77</v>
      </c>
      <c r="D34" t="s">
        <v>30</v>
      </c>
      <c r="E34" t="s">
        <v>11</v>
      </c>
      <c r="F34" s="1" t="d">
        <v>2024-07-16</v>
      </c>
      <c r="H34" t="str">
        <f>VLOOKUP(D34,Table2[],3,FALSE)</f>
        <v>EPP</v>
      </c>
    </row>
    <row r="35" spans="1:8" x14ac:dyDescent="0.2">
      <c r="A35">
        <v>96998</v>
      </c>
      <c r="B35" t="s">
        <v>78</v>
      </c>
      <c r="C35" t="s">
        <v>47</v>
      </c>
      <c r="D35" t="s">
        <v>79</v>
      </c>
      <c r="E35" t="s">
        <v>11</v>
      </c>
      <c r="F35" s="1" t="d">
        <v>2019-07-02</v>
      </c>
      <c r="G35" s="1" t="d">
        <v>2024-07-15</v>
      </c>
      <c r="H35" t="str">
        <f>VLOOKUP(D35,Table2[],3,FALSE)</f>
        <v>S&amp;D</v>
      </c>
    </row>
    <row r="36" spans="1:8" x14ac:dyDescent="0.2">
      <c r="A36">
        <v>188945</v>
      </c>
      <c r="B36" t="s">
        <v>80</v>
      </c>
      <c r="C36" t="s">
        <v>20</v>
      </c>
      <c r="D36" t="s">
        <v>30</v>
      </c>
      <c r="E36" t="s">
        <v>11</v>
      </c>
      <c r="F36" s="1" t="d">
        <v>2024-07-16</v>
      </c>
      <c r="H36" t="str">
        <f>VLOOKUP(D36,Table2[],3,FALSE)</f>
        <v>EPP</v>
      </c>
    </row>
    <row r="37" spans="1:8" x14ac:dyDescent="0.2">
      <c r="A37">
        <v>125021</v>
      </c>
      <c r="B37" t="s">
        <v>81</v>
      </c>
      <c r="C37" t="s">
        <v>16</v>
      </c>
      <c r="D37" t="s">
        <v>75</v>
      </c>
      <c r="E37" t="s">
        <v>11</v>
      </c>
      <c r="F37" s="1" t="d">
        <v>2014-07-01</v>
      </c>
      <c r="G37" s="1" t="d">
        <v>2019-07-01</v>
      </c>
      <c r="H37" t="str">
        <f>VLOOKUP(D37,Table2[],3,FALSE)</f>
        <v>S&amp;D</v>
      </c>
    </row>
    <row r="38" spans="1:8" x14ac:dyDescent="0.2">
      <c r="A38">
        <v>197663</v>
      </c>
      <c r="B38" t="s">
        <v>82</v>
      </c>
      <c r="C38" t="s">
        <v>83</v>
      </c>
      <c r="D38" t="s">
        <v>66</v>
      </c>
      <c r="E38" t="s">
        <v>11</v>
      </c>
      <c r="F38" s="1" t="d">
        <v>2019-07-02</v>
      </c>
      <c r="G38" s="1" t="d">
        <v>2024-07-15</v>
      </c>
      <c r="H38" t="str">
        <f>VLOOKUP(D38,Table2[],3,FALSE)</f>
        <v>Renew Europe</v>
      </c>
    </row>
    <row r="39" spans="1:8" x14ac:dyDescent="0.2">
      <c r="A39">
        <v>197500</v>
      </c>
      <c r="B39" t="s">
        <v>84</v>
      </c>
      <c r="C39" t="s">
        <v>23</v>
      </c>
      <c r="D39" t="s">
        <v>28</v>
      </c>
      <c r="E39" t="s">
        <v>11</v>
      </c>
      <c r="F39" s="1" t="d">
        <v>2019-07-02</v>
      </c>
      <c r="G39" s="1" t="d">
        <v>2024-07-15</v>
      </c>
      <c r="H39" t="str">
        <f>VLOOKUP(D39,Table2[],3,FALSE)</f>
        <v>Greens/EFA</v>
      </c>
    </row>
    <row r="40" spans="1:8" x14ac:dyDescent="0.2">
      <c r="A40">
        <v>197468</v>
      </c>
      <c r="B40" t="s">
        <v>85</v>
      </c>
      <c r="C40" t="s">
        <v>20</v>
      </c>
      <c r="D40" t="s">
        <v>38</v>
      </c>
      <c r="E40" t="s">
        <v>11</v>
      </c>
      <c r="F40" s="1" t="d">
        <v>2019-07-02</v>
      </c>
      <c r="G40" s="1" t="d">
        <v>2020-12-17</v>
      </c>
      <c r="H40" t="str">
        <f>VLOOKUP(D40,Table2[],3,FALSE)</f>
        <v>The Left</v>
      </c>
    </row>
    <row r="41" spans="1:8" x14ac:dyDescent="0.2">
      <c r="A41">
        <v>95074</v>
      </c>
      <c r="B41" t="s">
        <v>86</v>
      </c>
      <c r="C41" t="s">
        <v>16</v>
      </c>
      <c r="D41" t="s">
        <v>30</v>
      </c>
      <c r="E41" t="s">
        <v>31</v>
      </c>
      <c r="F41" s="1" t="d">
        <v>2024-07-16</v>
      </c>
      <c r="H41" t="str">
        <f>VLOOKUP(D41,Table2[],3,FALSE)</f>
        <v>EPP</v>
      </c>
    </row>
    <row r="42" spans="1:8" x14ac:dyDescent="0.2">
      <c r="A42">
        <v>197455</v>
      </c>
      <c r="B42" t="s">
        <v>87</v>
      </c>
      <c r="C42" t="s">
        <v>88</v>
      </c>
      <c r="D42" t="s">
        <v>10</v>
      </c>
      <c r="E42" t="s">
        <v>11</v>
      </c>
      <c r="F42" s="1" t="d">
        <v>2019-07-02</v>
      </c>
      <c r="G42" s="1" t="d">
        <v>2024-07-15</v>
      </c>
      <c r="H42" t="str">
        <f>VLOOKUP(D42,Table2[],3,FALSE)</f>
        <v>EPP</v>
      </c>
    </row>
    <row r="43" spans="1:8" x14ac:dyDescent="0.2">
      <c r="A43">
        <v>96829</v>
      </c>
      <c r="B43" t="s">
        <v>89</v>
      </c>
      <c r="C43" t="s">
        <v>73</v>
      </c>
      <c r="D43" t="s">
        <v>90</v>
      </c>
      <c r="E43" t="s">
        <v>11</v>
      </c>
      <c r="F43" s="1" t="d">
        <v>2021-03-05</v>
      </c>
      <c r="G43" s="1" t="d">
        <v>2024-07-15</v>
      </c>
      <c r="H43" t="str">
        <f>VLOOKUP(D43,Table2[],3,FALSE)</f>
        <v>EPP</v>
      </c>
    </row>
    <row r="44" spans="1:8" x14ac:dyDescent="0.2">
      <c r="A44">
        <v>197785</v>
      </c>
      <c r="B44" t="s">
        <v>91</v>
      </c>
      <c r="C44" t="s">
        <v>13</v>
      </c>
      <c r="D44" t="s">
        <v>38</v>
      </c>
      <c r="E44" t="s">
        <v>11</v>
      </c>
      <c r="F44" s="1" t="d">
        <v>2019-07-02</v>
      </c>
      <c r="G44" s="1" t="d">
        <v>2020-12-17</v>
      </c>
      <c r="H44" t="str">
        <f>VLOOKUP(D44,Table2[],3,FALSE)</f>
        <v>The Left</v>
      </c>
    </row>
    <row r="45" spans="1:8" x14ac:dyDescent="0.2">
      <c r="A45">
        <v>29579</v>
      </c>
      <c r="B45" t="s">
        <v>92</v>
      </c>
      <c r="C45" t="s">
        <v>88</v>
      </c>
      <c r="D45" t="s">
        <v>90</v>
      </c>
      <c r="E45" t="s">
        <v>11</v>
      </c>
      <c r="F45" s="1" t="d">
        <v>2023-01-19</v>
      </c>
      <c r="G45" s="1" t="d">
        <v>2024-07-15</v>
      </c>
      <c r="H45" t="str">
        <f>VLOOKUP(D45,Table2[],3,FALSE)</f>
        <v>EPP</v>
      </c>
    </row>
    <row r="46" spans="1:8" x14ac:dyDescent="0.2">
      <c r="A46">
        <v>198329</v>
      </c>
      <c r="B46" t="s">
        <v>93</v>
      </c>
      <c r="C46" t="s">
        <v>13</v>
      </c>
      <c r="D46" t="s">
        <v>79</v>
      </c>
      <c r="E46" t="s">
        <v>11</v>
      </c>
      <c r="F46" s="1" t="d">
        <v>2019-07-02</v>
      </c>
      <c r="G46" s="1" t="d">
        <v>2024-07-15</v>
      </c>
      <c r="H46" t="str">
        <f>VLOOKUP(D46,Table2[],3,FALSE)</f>
        <v>S&amp;D</v>
      </c>
    </row>
    <row r="47" spans="1:8" x14ac:dyDescent="0.2">
      <c r="A47">
        <v>197817</v>
      </c>
      <c r="B47" t="s">
        <v>94</v>
      </c>
      <c r="C47" t="s">
        <v>64</v>
      </c>
      <c r="D47" t="s">
        <v>26</v>
      </c>
      <c r="E47" t="s">
        <v>11</v>
      </c>
      <c r="F47" s="1" t="d">
        <v>2020-12-18</v>
      </c>
      <c r="G47" s="1" t="d">
        <v>2024-07-15</v>
      </c>
      <c r="H47" t="str">
        <f>VLOOKUP(D47,Table2[],3,FALSE)</f>
        <v>The Left</v>
      </c>
    </row>
    <row r="48" spans="1:8" x14ac:dyDescent="0.2">
      <c r="A48">
        <v>124747</v>
      </c>
      <c r="B48" t="s">
        <v>95</v>
      </c>
      <c r="C48" t="s">
        <v>71</v>
      </c>
      <c r="D48" t="s">
        <v>79</v>
      </c>
      <c r="E48" t="s">
        <v>11</v>
      </c>
      <c r="F48" s="1" t="d">
        <v>2019-07-02</v>
      </c>
      <c r="G48" s="1" t="d">
        <v>2024-07-15</v>
      </c>
      <c r="H48" t="str">
        <f>VLOOKUP(D48,Table2[],3,FALSE)</f>
        <v>S&amp;D</v>
      </c>
    </row>
    <row r="49" spans="1:8" x14ac:dyDescent="0.2">
      <c r="A49">
        <v>245018</v>
      </c>
      <c r="B49" t="s">
        <v>96</v>
      </c>
      <c r="C49" t="s">
        <v>23</v>
      </c>
      <c r="D49" t="s">
        <v>48</v>
      </c>
      <c r="E49" t="s">
        <v>31</v>
      </c>
      <c r="F49" s="1" t="d">
        <v>2024-07-16</v>
      </c>
      <c r="H49" t="str">
        <f>VLOOKUP(D49,Table2[],3,FALSE)</f>
        <v>S&amp;D</v>
      </c>
    </row>
    <row r="50" spans="1:8" x14ac:dyDescent="0.2">
      <c r="A50">
        <v>124844</v>
      </c>
      <c r="B50" t="s">
        <v>97</v>
      </c>
      <c r="C50" t="s">
        <v>54</v>
      </c>
      <c r="D50" t="s">
        <v>98</v>
      </c>
      <c r="E50" t="s">
        <v>11</v>
      </c>
      <c r="F50" s="1" t="d">
        <v>2014-10-20</v>
      </c>
      <c r="G50" s="1" t="d">
        <v>2019-07-01</v>
      </c>
      <c r="H50" t="str">
        <f>VLOOKUP(D50,Table2[],3,FALSE)</f>
        <v>Greens/EFA</v>
      </c>
    </row>
    <row r="51" spans="1:8" x14ac:dyDescent="0.2">
      <c r="A51">
        <v>124738</v>
      </c>
      <c r="B51" t="s">
        <v>99</v>
      </c>
      <c r="C51" t="s">
        <v>23</v>
      </c>
      <c r="D51" t="s">
        <v>55</v>
      </c>
      <c r="E51" t="s">
        <v>11</v>
      </c>
      <c r="F51" s="1" t="d">
        <v>2015-06-15</v>
      </c>
      <c r="G51" s="1" t="d">
        <v>2019-07-01</v>
      </c>
      <c r="H51" t="str">
        <f>VLOOKUP(D51,Table2[],3,FALSE)</f>
        <v>ID</v>
      </c>
    </row>
    <row r="52" spans="1:8" x14ac:dyDescent="0.2">
      <c r="A52">
        <v>23699</v>
      </c>
      <c r="B52" t="s">
        <v>100</v>
      </c>
      <c r="C52" t="s">
        <v>101</v>
      </c>
      <c r="D52" t="s">
        <v>57</v>
      </c>
      <c r="E52" t="s">
        <v>102</v>
      </c>
      <c r="F52" s="1" t="d">
        <v>2015-12-15</v>
      </c>
      <c r="G52" s="1" t="d">
        <v>2019-07-01</v>
      </c>
      <c r="H52" t="str">
        <f>VLOOKUP(D52,Table2[],3,FALSE)</f>
        <v>The Left</v>
      </c>
    </row>
    <row r="53" spans="1:8" x14ac:dyDescent="0.2">
      <c r="A53">
        <v>124834</v>
      </c>
      <c r="B53" t="s">
        <v>103</v>
      </c>
      <c r="C53" t="s">
        <v>20</v>
      </c>
      <c r="D53" t="s">
        <v>104</v>
      </c>
      <c r="E53" t="s">
        <v>11</v>
      </c>
      <c r="F53" s="1" t="d">
        <v>2024-07-16</v>
      </c>
      <c r="H53" t="str">
        <f>VLOOKUP(D53,Table2[],3,FALSE)</f>
        <v>Non-attached</v>
      </c>
    </row>
    <row r="54" spans="1:8" x14ac:dyDescent="0.2">
      <c r="A54">
        <v>125065</v>
      </c>
      <c r="B54" t="s">
        <v>105</v>
      </c>
      <c r="C54" t="s">
        <v>106</v>
      </c>
      <c r="D54" t="s">
        <v>107</v>
      </c>
      <c r="E54" t="s">
        <v>11</v>
      </c>
      <c r="F54" s="1" t="d">
        <v>2014-07-01</v>
      </c>
      <c r="G54" s="1" t="d">
        <v>2019-07-01</v>
      </c>
      <c r="H54" t="str">
        <f>VLOOKUP(D54,Table2[],3,FALSE)</f>
        <v>EPP</v>
      </c>
    </row>
    <row r="55" spans="1:8" x14ac:dyDescent="0.2">
      <c r="A55">
        <v>197889</v>
      </c>
      <c r="B55" t="s">
        <v>108</v>
      </c>
      <c r="C55" t="s">
        <v>64</v>
      </c>
      <c r="D55" t="s">
        <v>28</v>
      </c>
      <c r="E55" t="s">
        <v>11</v>
      </c>
      <c r="F55" s="1" t="d">
        <v>2019-07-02</v>
      </c>
      <c r="G55" s="1" t="d">
        <v>2024-07-15</v>
      </c>
      <c r="H55" t="str">
        <f>VLOOKUP(D55,Table2[],3,FALSE)</f>
        <v>Greens/EFA</v>
      </c>
    </row>
    <row r="56" spans="1:8" x14ac:dyDescent="0.2">
      <c r="A56">
        <v>197440</v>
      </c>
      <c r="B56" t="s">
        <v>109</v>
      </c>
      <c r="C56" t="s">
        <v>20</v>
      </c>
      <c r="D56" t="s">
        <v>48</v>
      </c>
      <c r="E56" t="s">
        <v>11</v>
      </c>
      <c r="F56" s="1" t="d">
        <v>2024-07-16</v>
      </c>
      <c r="H56" t="str">
        <f>VLOOKUP(D56,Table2[],3,FALSE)</f>
        <v>S&amp;D</v>
      </c>
    </row>
    <row r="57" spans="1:8" x14ac:dyDescent="0.2">
      <c r="A57">
        <v>197446</v>
      </c>
      <c r="B57" t="s">
        <v>110</v>
      </c>
      <c r="C57" t="s">
        <v>111</v>
      </c>
      <c r="D57" t="s">
        <v>79</v>
      </c>
      <c r="E57" t="s">
        <v>11</v>
      </c>
      <c r="F57" s="1" t="d">
        <v>2019-07-02</v>
      </c>
      <c r="G57" s="1" t="d">
        <v>2024-07-15</v>
      </c>
      <c r="H57" t="str">
        <f>VLOOKUP(D57,Table2[],3,FALSE)</f>
        <v>S&amp;D</v>
      </c>
    </row>
    <row r="58" spans="1:8" x14ac:dyDescent="0.2">
      <c r="A58">
        <v>58766</v>
      </c>
      <c r="B58" t="s">
        <v>112</v>
      </c>
      <c r="C58" t="s">
        <v>83</v>
      </c>
      <c r="D58" t="s">
        <v>28</v>
      </c>
      <c r="E58" t="s">
        <v>31</v>
      </c>
      <c r="F58" s="1" t="d">
        <v>2023-12-13</v>
      </c>
      <c r="G58" s="1" t="d">
        <v>2024-07-15</v>
      </c>
      <c r="H58" t="str">
        <f>VLOOKUP(D58,Table2[],3,FALSE)</f>
        <v>Greens/EFA</v>
      </c>
    </row>
    <row r="59" spans="1:8" x14ac:dyDescent="0.2">
      <c r="A59">
        <v>236052</v>
      </c>
      <c r="B59" t="s">
        <v>113</v>
      </c>
      <c r="C59" t="s">
        <v>23</v>
      </c>
      <c r="D59" t="s">
        <v>24</v>
      </c>
      <c r="E59" t="s">
        <v>11</v>
      </c>
      <c r="F59" s="1" t="d">
        <v>2022-07-29</v>
      </c>
      <c r="G59" s="1" t="d">
        <v>2024-07-15</v>
      </c>
      <c r="H59" t="str">
        <f>VLOOKUP(D59,Table2[],3,FALSE)</f>
        <v>ID</v>
      </c>
    </row>
    <row r="60" spans="1:8" x14ac:dyDescent="0.2">
      <c r="A60">
        <v>88882</v>
      </c>
      <c r="B60" t="s">
        <v>114</v>
      </c>
      <c r="C60" t="s">
        <v>83</v>
      </c>
      <c r="D60" t="s">
        <v>75</v>
      </c>
      <c r="E60" t="s">
        <v>11</v>
      </c>
      <c r="F60" s="1" t="d">
        <v>2014-07-01</v>
      </c>
      <c r="G60" s="1" t="d">
        <v>2017-06-29</v>
      </c>
      <c r="H60" t="str">
        <f>VLOOKUP(D60,Table2[],3,FALSE)</f>
        <v>S&amp;D</v>
      </c>
    </row>
    <row r="61" spans="1:8" x14ac:dyDescent="0.2">
      <c r="A61">
        <v>124802</v>
      </c>
      <c r="B61" t="s">
        <v>115</v>
      </c>
      <c r="C61" t="s">
        <v>83</v>
      </c>
      <c r="D61" t="s">
        <v>10</v>
      </c>
      <c r="E61" t="s">
        <v>31</v>
      </c>
      <c r="F61" s="1" t="d">
        <v>2019-07-02</v>
      </c>
      <c r="G61" s="1" t="d">
        <v>2024-07-15</v>
      </c>
      <c r="H61" t="str">
        <f>VLOOKUP(D61,Table2[],3,FALSE)</f>
        <v>EPP</v>
      </c>
    </row>
    <row r="62" spans="1:8" x14ac:dyDescent="0.2">
      <c r="A62">
        <v>197820</v>
      </c>
      <c r="B62" t="s">
        <v>116</v>
      </c>
      <c r="C62" t="s">
        <v>54</v>
      </c>
      <c r="D62" t="s">
        <v>117</v>
      </c>
      <c r="E62" t="s">
        <v>118</v>
      </c>
      <c r="F62" s="1" t="d">
        <v>2024-07-16</v>
      </c>
      <c r="H62" t="str">
        <f>VLOOKUP(D62,Table2[],3,FALSE)</f>
        <v>ECR</v>
      </c>
    </row>
    <row r="63" spans="1:8" x14ac:dyDescent="0.2">
      <c r="A63">
        <v>204334</v>
      </c>
      <c r="B63" t="s">
        <v>119</v>
      </c>
      <c r="C63" t="s">
        <v>54</v>
      </c>
      <c r="D63" t="s">
        <v>24</v>
      </c>
      <c r="E63" t="s">
        <v>11</v>
      </c>
      <c r="F63" s="1" t="d">
        <v>2020-02-01</v>
      </c>
      <c r="G63" s="1" t="d">
        <v>2021-02-22</v>
      </c>
      <c r="H63" t="str">
        <f>VLOOKUP(D63,Table2[],3,FALSE)</f>
        <v>ID</v>
      </c>
    </row>
    <row r="64" spans="1:8" x14ac:dyDescent="0.2">
      <c r="A64">
        <v>28266</v>
      </c>
      <c r="B64" t="s">
        <v>120</v>
      </c>
      <c r="C64" t="s">
        <v>16</v>
      </c>
      <c r="D64" t="s">
        <v>66</v>
      </c>
      <c r="E64" t="s">
        <v>11</v>
      </c>
      <c r="F64" s="1" t="d">
        <v>2019-07-02</v>
      </c>
      <c r="G64" s="1" t="d">
        <v>2024-07-15</v>
      </c>
      <c r="H64" t="str">
        <f>VLOOKUP(D64,Table2[],3,FALSE)</f>
        <v>Renew Europe</v>
      </c>
    </row>
    <row r="65" spans="1:8" x14ac:dyDescent="0.2">
      <c r="A65">
        <v>197670</v>
      </c>
      <c r="B65" t="s">
        <v>121</v>
      </c>
      <c r="C65" t="s">
        <v>47</v>
      </c>
      <c r="D65" t="s">
        <v>79</v>
      </c>
      <c r="E65" t="s">
        <v>11</v>
      </c>
      <c r="F65" s="1" t="d">
        <v>2019-07-02</v>
      </c>
      <c r="G65" s="1" t="d">
        <v>2024-07-15</v>
      </c>
      <c r="H65" t="str">
        <f>VLOOKUP(D65,Table2[],3,FALSE)</f>
        <v>S&amp;D</v>
      </c>
    </row>
    <row r="66" spans="1:8" x14ac:dyDescent="0.2">
      <c r="A66">
        <v>197692</v>
      </c>
      <c r="B66" t="s">
        <v>122</v>
      </c>
      <c r="C66" t="s">
        <v>106</v>
      </c>
      <c r="D66" t="s">
        <v>10</v>
      </c>
      <c r="E66" t="s">
        <v>11</v>
      </c>
      <c r="F66" s="1" t="d">
        <v>2019-07-02</v>
      </c>
      <c r="G66" s="1" t="d">
        <v>2024-07-15</v>
      </c>
      <c r="H66" t="str">
        <f>VLOOKUP(D66,Table2[],3,FALSE)</f>
        <v>EPP</v>
      </c>
    </row>
    <row r="67" spans="1:8" x14ac:dyDescent="0.2">
      <c r="A67">
        <v>197528</v>
      </c>
      <c r="B67" t="s">
        <v>123</v>
      </c>
      <c r="C67" t="s">
        <v>101</v>
      </c>
      <c r="D67" t="s">
        <v>40</v>
      </c>
      <c r="E67" t="s">
        <v>18</v>
      </c>
      <c r="F67" s="1" t="d">
        <v>2024-07-16</v>
      </c>
      <c r="H67" t="str">
        <f>VLOOKUP(D67,Table2[],3,FALSE)</f>
        <v>PfE</v>
      </c>
    </row>
    <row r="68" spans="1:8" x14ac:dyDescent="0.2">
      <c r="A68">
        <v>28340</v>
      </c>
      <c r="B68" t="s">
        <v>124</v>
      </c>
      <c r="C68" t="s">
        <v>54</v>
      </c>
      <c r="D68" t="s">
        <v>75</v>
      </c>
      <c r="E68" t="s">
        <v>11</v>
      </c>
      <c r="F68" s="1" t="d">
        <v>2014-07-01</v>
      </c>
      <c r="G68" s="1" t="d">
        <v>2019-07-01</v>
      </c>
      <c r="H68" t="str">
        <f>VLOOKUP(D68,Table2[],3,FALSE)</f>
        <v>S&amp;D</v>
      </c>
    </row>
    <row r="69" spans="1:8" x14ac:dyDescent="0.2">
      <c r="A69">
        <v>125064</v>
      </c>
      <c r="B69" t="s">
        <v>125</v>
      </c>
      <c r="C69" t="s">
        <v>106</v>
      </c>
      <c r="D69" t="s">
        <v>107</v>
      </c>
      <c r="E69" t="s">
        <v>11</v>
      </c>
      <c r="F69" s="1" t="d">
        <v>2014-07-01</v>
      </c>
      <c r="G69" s="1" t="d">
        <v>2019-07-01</v>
      </c>
      <c r="H69" t="str">
        <f>VLOOKUP(D69,Table2[],3,FALSE)</f>
        <v>EPP</v>
      </c>
    </row>
    <row r="70" spans="1:8" x14ac:dyDescent="0.2">
      <c r="A70">
        <v>197657</v>
      </c>
      <c r="B70" t="s">
        <v>126</v>
      </c>
      <c r="C70" t="s">
        <v>83</v>
      </c>
      <c r="D70" t="s">
        <v>90</v>
      </c>
      <c r="E70" t="s">
        <v>11</v>
      </c>
      <c r="F70" s="1" t="d">
        <v>2024-02-23</v>
      </c>
      <c r="G70" s="1" t="d">
        <v>2024-07-15</v>
      </c>
      <c r="H70" t="str">
        <f>VLOOKUP(D70,Table2[],3,FALSE)</f>
        <v>EPP</v>
      </c>
    </row>
    <row r="71" spans="1:8" x14ac:dyDescent="0.2">
      <c r="A71">
        <v>28294</v>
      </c>
      <c r="B71" t="s">
        <v>127</v>
      </c>
      <c r="C71" t="s">
        <v>111</v>
      </c>
      <c r="D71" t="s">
        <v>10</v>
      </c>
      <c r="E71" t="s">
        <v>11</v>
      </c>
      <c r="F71" s="1" t="d">
        <v>2019-07-02</v>
      </c>
      <c r="G71" s="1" t="d">
        <v>2024-07-15</v>
      </c>
      <c r="H71" t="str">
        <f>VLOOKUP(D71,Table2[],3,FALSE)</f>
        <v>EPP</v>
      </c>
    </row>
    <row r="72" spans="1:8" x14ac:dyDescent="0.2">
      <c r="A72">
        <v>124735</v>
      </c>
      <c r="B72" t="s">
        <v>128</v>
      </c>
      <c r="C72" t="s">
        <v>37</v>
      </c>
      <c r="D72" t="s">
        <v>75</v>
      </c>
      <c r="E72" t="s">
        <v>11</v>
      </c>
      <c r="F72" s="1" t="d">
        <v>2014-07-01</v>
      </c>
      <c r="G72" s="1" t="d">
        <v>2019-07-01</v>
      </c>
      <c r="H72" t="str">
        <f>VLOOKUP(D72,Table2[],3,FALSE)</f>
        <v>S&amp;D</v>
      </c>
    </row>
    <row r="73" spans="1:8" x14ac:dyDescent="0.2">
      <c r="A73">
        <v>197800</v>
      </c>
      <c r="B73" t="s">
        <v>129</v>
      </c>
      <c r="C73" t="s">
        <v>37</v>
      </c>
      <c r="D73" t="s">
        <v>79</v>
      </c>
      <c r="E73" t="s">
        <v>102</v>
      </c>
      <c r="F73" s="1" t="d">
        <v>2019-07-02</v>
      </c>
      <c r="G73" s="1" t="d">
        <v>2021-12-15</v>
      </c>
      <c r="H73" t="str">
        <f>VLOOKUP(D73,Table2[],3,FALSE)</f>
        <v>S&amp;D</v>
      </c>
    </row>
    <row r="74" spans="1:8" x14ac:dyDescent="0.2">
      <c r="A74">
        <v>197445</v>
      </c>
      <c r="B74" t="s">
        <v>130</v>
      </c>
      <c r="C74" t="s">
        <v>20</v>
      </c>
      <c r="D74" t="s">
        <v>66</v>
      </c>
      <c r="E74" t="s">
        <v>11</v>
      </c>
      <c r="F74" s="1" t="d">
        <v>2019-07-02</v>
      </c>
      <c r="G74" s="1" t="d">
        <v>2024-07-15</v>
      </c>
      <c r="H74" t="str">
        <f>VLOOKUP(D74,Table2[],3,FALSE)</f>
        <v>Renew Europe</v>
      </c>
    </row>
    <row r="75" spans="1:8" x14ac:dyDescent="0.2">
      <c r="A75">
        <v>96868</v>
      </c>
      <c r="B75" t="s">
        <v>131</v>
      </c>
      <c r="C75" t="s">
        <v>23</v>
      </c>
      <c r="D75" t="s">
        <v>21</v>
      </c>
      <c r="E75" t="s">
        <v>11</v>
      </c>
      <c r="F75" s="1" t="d">
        <v>2014-07-01</v>
      </c>
      <c r="G75" s="1" t="d">
        <v>2019-07-01</v>
      </c>
      <c r="H75" t="str">
        <f>VLOOKUP(D75,Table2[],3,FALSE)</f>
        <v>Greens/EFA</v>
      </c>
    </row>
    <row r="76" spans="1:8" x14ac:dyDescent="0.2">
      <c r="A76">
        <v>204420</v>
      </c>
      <c r="B76" t="s">
        <v>132</v>
      </c>
      <c r="C76" t="s">
        <v>23</v>
      </c>
      <c r="D76" t="s">
        <v>28</v>
      </c>
      <c r="E76" t="s">
        <v>11</v>
      </c>
      <c r="F76" s="1" t="d">
        <v>2020-02-05</v>
      </c>
      <c r="G76" s="1" t="d">
        <v>2024-07-15</v>
      </c>
      <c r="H76" t="str">
        <f>VLOOKUP(D76,Table2[],3,FALSE)</f>
        <v>Greens/EFA</v>
      </c>
    </row>
    <row r="77" spans="1:8" x14ac:dyDescent="0.2">
      <c r="A77">
        <v>197634</v>
      </c>
      <c r="B77" t="s">
        <v>133</v>
      </c>
      <c r="C77" t="s">
        <v>71</v>
      </c>
      <c r="D77" t="s">
        <v>79</v>
      </c>
      <c r="E77" t="s">
        <v>11</v>
      </c>
      <c r="F77" s="1" t="d">
        <v>2019-07-02</v>
      </c>
      <c r="G77" s="1" t="d">
        <v>2021-12-15</v>
      </c>
      <c r="H77" t="str">
        <f>VLOOKUP(D77,Table2[],3,FALSE)</f>
        <v>S&amp;D</v>
      </c>
    </row>
    <row r="78" spans="1:8" x14ac:dyDescent="0.2">
      <c r="A78">
        <v>197464</v>
      </c>
      <c r="B78" t="s">
        <v>134</v>
      </c>
      <c r="C78" t="s">
        <v>20</v>
      </c>
      <c r="D78" t="s">
        <v>28</v>
      </c>
      <c r="E78" t="s">
        <v>11</v>
      </c>
      <c r="F78" s="1" t="d">
        <v>2019-07-02</v>
      </c>
      <c r="G78" s="1" t="d">
        <v>2024-07-15</v>
      </c>
      <c r="H78" t="str">
        <f>VLOOKUP(D78,Table2[],3,FALSE)</f>
        <v>Greens/EFA</v>
      </c>
    </row>
    <row r="79" spans="1:8" x14ac:dyDescent="0.2">
      <c r="A79">
        <v>187917</v>
      </c>
      <c r="B79" t="s">
        <v>135</v>
      </c>
      <c r="C79" t="s">
        <v>88</v>
      </c>
      <c r="D79" t="s">
        <v>136</v>
      </c>
      <c r="E79" t="s">
        <v>31</v>
      </c>
      <c r="F79" s="1" t="d">
        <v>2024-07-16</v>
      </c>
      <c r="H79" t="str">
        <f>VLOOKUP(D79,Table2[],3,FALSE)</f>
        <v>The Left</v>
      </c>
    </row>
    <row r="80" spans="1:8" x14ac:dyDescent="0.2">
      <c r="A80">
        <v>197734</v>
      </c>
      <c r="B80" t="s">
        <v>137</v>
      </c>
      <c r="C80" t="s">
        <v>106</v>
      </c>
      <c r="D80" t="s">
        <v>90</v>
      </c>
      <c r="E80" t="s">
        <v>11</v>
      </c>
      <c r="F80" s="1" t="d">
        <v>2019-07-02</v>
      </c>
      <c r="G80" s="1" t="d">
        <v>2024-07-15</v>
      </c>
      <c r="H80" t="str">
        <f>VLOOKUP(D80,Table2[],3,FALSE)</f>
        <v>EPP</v>
      </c>
    </row>
    <row r="81" spans="1:8" x14ac:dyDescent="0.2">
      <c r="A81">
        <v>228604</v>
      </c>
      <c r="B81" t="s">
        <v>138</v>
      </c>
      <c r="C81" t="s">
        <v>50</v>
      </c>
      <c r="D81" t="s">
        <v>79</v>
      </c>
      <c r="E81" t="s">
        <v>11</v>
      </c>
      <c r="F81" s="1" t="d">
        <v>2021-12-14</v>
      </c>
      <c r="G81" s="1" t="d">
        <v>2024-07-15</v>
      </c>
      <c r="H81" t="str">
        <f>VLOOKUP(D81,Table2[],3,FALSE)</f>
        <v>S&amp;D</v>
      </c>
    </row>
    <row r="82" spans="1:8" x14ac:dyDescent="0.2">
      <c r="A82">
        <v>197435</v>
      </c>
      <c r="B82" t="s">
        <v>139</v>
      </c>
      <c r="C82" t="s">
        <v>20</v>
      </c>
      <c r="D82" t="s">
        <v>48</v>
      </c>
      <c r="E82" t="s">
        <v>31</v>
      </c>
      <c r="F82" s="1" t="d">
        <v>2024-07-16</v>
      </c>
      <c r="H82" t="str">
        <f>VLOOKUP(D82,Table2[],3,FALSE)</f>
        <v>S&amp;D</v>
      </c>
    </row>
    <row r="83" spans="1:8" x14ac:dyDescent="0.2">
      <c r="A83">
        <v>190713</v>
      </c>
      <c r="B83" t="s">
        <v>140</v>
      </c>
      <c r="C83" t="s">
        <v>47</v>
      </c>
      <c r="D83" t="s">
        <v>10</v>
      </c>
      <c r="E83" t="s">
        <v>11</v>
      </c>
      <c r="F83" s="1" t="d">
        <v>2019-07-02</v>
      </c>
      <c r="G83" s="1" t="d">
        <v>2024-07-15</v>
      </c>
      <c r="H83" t="str">
        <f>VLOOKUP(D83,Table2[],3,FALSE)</f>
        <v>EPP</v>
      </c>
    </row>
    <row r="84" spans="1:8" x14ac:dyDescent="0.2">
      <c r="A84">
        <v>197870</v>
      </c>
      <c r="B84" t="s">
        <v>141</v>
      </c>
      <c r="C84" t="s">
        <v>16</v>
      </c>
      <c r="D84" t="s">
        <v>28</v>
      </c>
      <c r="E84" t="s">
        <v>11</v>
      </c>
      <c r="F84" s="1" t="d">
        <v>2019-07-02</v>
      </c>
      <c r="G84" s="1" t="d">
        <v>2024-07-15</v>
      </c>
      <c r="H84" t="str">
        <f>VLOOKUP(D84,Table2[],3,FALSE)</f>
        <v>Greens/EFA</v>
      </c>
    </row>
    <row r="85" spans="1:8" x14ac:dyDescent="0.2">
      <c r="A85">
        <v>197792</v>
      </c>
      <c r="B85" t="s">
        <v>142</v>
      </c>
      <c r="C85" t="s">
        <v>54</v>
      </c>
      <c r="D85" t="s">
        <v>79</v>
      </c>
      <c r="E85" t="s">
        <v>11</v>
      </c>
      <c r="F85" s="1" t="d">
        <v>2023-01-25</v>
      </c>
      <c r="G85" s="1" t="d">
        <v>2024-07-15</v>
      </c>
      <c r="H85" t="str">
        <f>VLOOKUP(D85,Table2[],3,FALSE)</f>
        <v>S&amp;D</v>
      </c>
    </row>
    <row r="86" spans="1:8" x14ac:dyDescent="0.2">
      <c r="A86">
        <v>197403</v>
      </c>
      <c r="B86" t="s">
        <v>143</v>
      </c>
      <c r="C86" t="s">
        <v>9</v>
      </c>
      <c r="D86" t="s">
        <v>48</v>
      </c>
      <c r="E86" t="s">
        <v>31</v>
      </c>
      <c r="F86" s="1" t="d">
        <v>2024-07-16</v>
      </c>
      <c r="H86" t="str">
        <f>VLOOKUP(D86,Table2[],3,FALSE)</f>
        <v>S&amp;D</v>
      </c>
    </row>
    <row r="87" spans="1:8" x14ac:dyDescent="0.2">
      <c r="A87">
        <v>124866</v>
      </c>
      <c r="B87" t="s">
        <v>144</v>
      </c>
      <c r="C87" t="s">
        <v>77</v>
      </c>
      <c r="D87" t="s">
        <v>66</v>
      </c>
      <c r="E87" t="s">
        <v>11</v>
      </c>
      <c r="F87" s="1" t="d">
        <v>2019-07-02</v>
      </c>
      <c r="G87" s="1" t="d">
        <v>2024-07-15</v>
      </c>
      <c r="H87" t="str">
        <f>VLOOKUP(D87,Table2[],3,FALSE)</f>
        <v>Renew Europe</v>
      </c>
    </row>
    <row r="88" spans="1:8" x14ac:dyDescent="0.2">
      <c r="A88">
        <v>229352</v>
      </c>
      <c r="B88" t="s">
        <v>145</v>
      </c>
      <c r="C88" t="s">
        <v>20</v>
      </c>
      <c r="D88" t="s">
        <v>28</v>
      </c>
      <c r="E88" t="s">
        <v>11</v>
      </c>
      <c r="F88" s="1" t="d">
        <v>2021-12-22</v>
      </c>
      <c r="G88" s="1" t="d">
        <v>2024-03-05</v>
      </c>
      <c r="H88" t="str">
        <f>VLOOKUP(D88,Table2[],3,FALSE)</f>
        <v>Greens/EFA</v>
      </c>
    </row>
    <row r="89" spans="1:8" x14ac:dyDescent="0.2">
      <c r="A89">
        <v>218349</v>
      </c>
      <c r="B89" t="s">
        <v>146</v>
      </c>
      <c r="C89" t="s">
        <v>16</v>
      </c>
      <c r="D89" t="s">
        <v>35</v>
      </c>
      <c r="E89" t="s">
        <v>11</v>
      </c>
      <c r="F89" s="1" t="d">
        <v>2021-04-19</v>
      </c>
      <c r="G89" s="1" t="d">
        <v>2024-07-15</v>
      </c>
      <c r="H89" t="str">
        <f>VLOOKUP(D89,Table2[],3,FALSE)</f>
        <v>ECR</v>
      </c>
    </row>
    <row r="90" spans="1:8" x14ac:dyDescent="0.2">
      <c r="A90">
        <v>197668</v>
      </c>
      <c r="B90" t="s">
        <v>147</v>
      </c>
      <c r="C90" t="s">
        <v>83</v>
      </c>
      <c r="D90" t="s">
        <v>66</v>
      </c>
      <c r="E90" t="s">
        <v>11</v>
      </c>
      <c r="F90" s="1" t="d">
        <v>2019-07-02</v>
      </c>
      <c r="G90" s="1" t="d">
        <v>2024-07-15</v>
      </c>
      <c r="H90" t="str">
        <f>VLOOKUP(D90,Table2[],3,FALSE)</f>
        <v>Renew Europe</v>
      </c>
    </row>
    <row r="91" spans="1:8" x14ac:dyDescent="0.2">
      <c r="A91">
        <v>96648</v>
      </c>
      <c r="B91" t="s">
        <v>148</v>
      </c>
      <c r="C91" t="s">
        <v>88</v>
      </c>
      <c r="D91" t="s">
        <v>21</v>
      </c>
      <c r="E91" t="s">
        <v>118</v>
      </c>
      <c r="F91" s="1" t="d">
        <v>2014-07-01</v>
      </c>
      <c r="G91" s="1" t="d">
        <v>2019-07-01</v>
      </c>
      <c r="H91" t="str">
        <f>VLOOKUP(D91,Table2[],3,FALSE)</f>
        <v>Greens/EFA</v>
      </c>
    </row>
    <row r="92" spans="1:8" x14ac:dyDescent="0.2">
      <c r="A92">
        <v>5729</v>
      </c>
      <c r="B92" t="s">
        <v>149</v>
      </c>
      <c r="C92" t="s">
        <v>88</v>
      </c>
      <c r="D92" t="s">
        <v>79</v>
      </c>
      <c r="E92" t="s">
        <v>11</v>
      </c>
      <c r="F92" s="1" t="d">
        <v>2019-07-02</v>
      </c>
      <c r="G92" s="1" t="d">
        <v>2024-07-15</v>
      </c>
      <c r="H92" t="str">
        <f>VLOOKUP(D92,Table2[],3,FALSE)</f>
        <v>S&amp;D</v>
      </c>
    </row>
    <row r="93" spans="1:8" x14ac:dyDescent="0.2">
      <c r="A93">
        <v>197470</v>
      </c>
      <c r="B93" t="s">
        <v>150</v>
      </c>
      <c r="C93" t="s">
        <v>88</v>
      </c>
      <c r="D93" t="s">
        <v>51</v>
      </c>
      <c r="E93" t="s">
        <v>11</v>
      </c>
      <c r="F93" s="1" t="d">
        <v>2024-07-16</v>
      </c>
      <c r="H93" t="str">
        <f>VLOOKUP(D93,Table2[],3,FALSE)</f>
        <v>Greens/EFA</v>
      </c>
    </row>
    <row r="94" spans="1:8" x14ac:dyDescent="0.2">
      <c r="A94">
        <v>197520</v>
      </c>
      <c r="B94" t="s">
        <v>151</v>
      </c>
      <c r="C94" t="s">
        <v>68</v>
      </c>
      <c r="D94" t="s">
        <v>35</v>
      </c>
      <c r="E94" t="s">
        <v>11</v>
      </c>
      <c r="F94" s="1" t="d">
        <v>2019-07-02</v>
      </c>
      <c r="G94" s="1" t="d">
        <v>2024-07-15</v>
      </c>
      <c r="H94" t="str">
        <f>VLOOKUP(D94,Table2[],3,FALSE)</f>
        <v>ECR</v>
      </c>
    </row>
    <row r="95" spans="1:8" x14ac:dyDescent="0.2">
      <c r="A95">
        <v>202352</v>
      </c>
      <c r="B95" t="s">
        <v>152</v>
      </c>
      <c r="C95" t="s">
        <v>13</v>
      </c>
      <c r="D95" t="s">
        <v>90</v>
      </c>
      <c r="E95" t="s">
        <v>11</v>
      </c>
      <c r="F95" s="1" t="d">
        <v>2019-07-02</v>
      </c>
      <c r="G95" s="1" t="d">
        <v>2024-07-15</v>
      </c>
      <c r="H95" t="str">
        <f>VLOOKUP(D95,Table2[],3,FALSE)</f>
        <v>EPP</v>
      </c>
    </row>
    <row r="96" spans="1:8" x14ac:dyDescent="0.2">
      <c r="A96">
        <v>197402</v>
      </c>
      <c r="B96" t="s">
        <v>153</v>
      </c>
      <c r="C96" t="s">
        <v>50</v>
      </c>
      <c r="D96" t="s">
        <v>10</v>
      </c>
      <c r="E96" t="s">
        <v>11</v>
      </c>
      <c r="F96" s="1" t="d">
        <v>2019-07-02</v>
      </c>
      <c r="G96" s="1" t="d">
        <v>2024-07-15</v>
      </c>
      <c r="H96" t="str">
        <f>VLOOKUP(D96,Table2[],3,FALSE)</f>
        <v>EPP</v>
      </c>
    </row>
    <row r="97" spans="1:8" x14ac:dyDescent="0.2">
      <c r="A97">
        <v>197413</v>
      </c>
      <c r="B97" t="s">
        <v>154</v>
      </c>
      <c r="C97" t="s">
        <v>155</v>
      </c>
      <c r="D97" t="s">
        <v>10</v>
      </c>
      <c r="E97" t="s">
        <v>11</v>
      </c>
      <c r="F97" s="1" t="d">
        <v>2019-07-02</v>
      </c>
      <c r="G97" s="1" t="d">
        <v>2024-07-15</v>
      </c>
      <c r="H97" t="str">
        <f>VLOOKUP(D97,Table2[],3,FALSE)</f>
        <v>EPP</v>
      </c>
    </row>
    <row r="98" spans="1:8" x14ac:dyDescent="0.2">
      <c r="A98">
        <v>28150</v>
      </c>
      <c r="B98" t="s">
        <v>156</v>
      </c>
      <c r="C98" t="s">
        <v>73</v>
      </c>
      <c r="D98" t="s">
        <v>90</v>
      </c>
      <c r="E98" t="s">
        <v>11</v>
      </c>
      <c r="F98" s="1" t="d">
        <v>2021-03-05</v>
      </c>
      <c r="G98" s="1" t="d">
        <v>2024-07-15</v>
      </c>
      <c r="H98" t="str">
        <f>VLOOKUP(D98,Table2[],3,FALSE)</f>
        <v>EPP</v>
      </c>
    </row>
    <row r="99" spans="1:8" x14ac:dyDescent="0.2">
      <c r="A99">
        <v>4246</v>
      </c>
      <c r="B99" t="s">
        <v>157</v>
      </c>
      <c r="C99" t="s">
        <v>47</v>
      </c>
      <c r="D99" t="s">
        <v>33</v>
      </c>
      <c r="E99" t="s">
        <v>31</v>
      </c>
      <c r="F99" s="1" t="d">
        <v>2009-07-14</v>
      </c>
      <c r="G99" s="1" t="d">
        <v>2009-11-24</v>
      </c>
      <c r="H99" t="str">
        <f>VLOOKUP(D99,Table2[],3,FALSE)</f>
        <v>EPP</v>
      </c>
    </row>
    <row r="100" spans="1:8" x14ac:dyDescent="0.2">
      <c r="A100">
        <v>28353</v>
      </c>
      <c r="B100" t="s">
        <v>158</v>
      </c>
      <c r="C100" t="s">
        <v>68</v>
      </c>
      <c r="D100" t="s">
        <v>159</v>
      </c>
      <c r="E100" t="s">
        <v>11</v>
      </c>
      <c r="F100" s="1" t="d">
        <v>2004-07-20</v>
      </c>
      <c r="G100" s="1" t="d">
        <v>2005-11-22</v>
      </c>
      <c r="H100" t="str">
        <f>VLOOKUP(D100,Table2[],3,FALSE)</f>
        <v>ECR</v>
      </c>
    </row>
    <row r="101" spans="1:8" x14ac:dyDescent="0.2">
      <c r="A101">
        <v>197843</v>
      </c>
      <c r="B101" t="s">
        <v>160</v>
      </c>
      <c r="C101" t="s">
        <v>161</v>
      </c>
      <c r="D101" t="s">
        <v>10</v>
      </c>
      <c r="E101" t="s">
        <v>11</v>
      </c>
      <c r="F101" s="1" t="d">
        <v>2019-07-02</v>
      </c>
      <c r="G101" s="1" t="d">
        <v>2024-07-15</v>
      </c>
      <c r="H101" t="str">
        <f>VLOOKUP(D101,Table2[],3,FALSE)</f>
        <v>EPP</v>
      </c>
    </row>
    <row r="102" spans="1:8" x14ac:dyDescent="0.2">
      <c r="A102">
        <v>197497</v>
      </c>
      <c r="B102" t="s">
        <v>162</v>
      </c>
      <c r="C102" t="s">
        <v>163</v>
      </c>
      <c r="D102" t="s">
        <v>48</v>
      </c>
      <c r="E102" t="s">
        <v>11</v>
      </c>
      <c r="F102" s="1" t="d">
        <v>2024-07-16</v>
      </c>
      <c r="H102" t="str">
        <f>VLOOKUP(D102,Table2[],3,FALSE)</f>
        <v>S&amp;D</v>
      </c>
    </row>
    <row r="103" spans="1:8" x14ac:dyDescent="0.2">
      <c r="A103">
        <v>125214</v>
      </c>
      <c r="B103" t="s">
        <v>164</v>
      </c>
      <c r="C103" t="s">
        <v>161</v>
      </c>
      <c r="D103" t="s">
        <v>28</v>
      </c>
      <c r="E103" t="s">
        <v>11</v>
      </c>
      <c r="F103" s="1" t="d">
        <v>2019-07-02</v>
      </c>
      <c r="G103" s="1" t="d">
        <v>2024-07-15</v>
      </c>
      <c r="H103" t="str">
        <f>VLOOKUP(D103,Table2[],3,FALSE)</f>
        <v>Greens/EFA</v>
      </c>
    </row>
    <row r="104" spans="1:8" x14ac:dyDescent="0.2">
      <c r="A104">
        <v>197537</v>
      </c>
      <c r="B104" t="s">
        <v>165</v>
      </c>
      <c r="C104" t="s">
        <v>101</v>
      </c>
      <c r="D104" t="s">
        <v>117</v>
      </c>
      <c r="E104" t="s">
        <v>31</v>
      </c>
      <c r="F104" s="1" t="d">
        <v>2024-07-16</v>
      </c>
      <c r="H104" t="str">
        <f>VLOOKUP(D104,Table2[],3,FALSE)</f>
        <v>ECR</v>
      </c>
    </row>
    <row r="105" spans="1:8" x14ac:dyDescent="0.2">
      <c r="A105">
        <v>124891</v>
      </c>
      <c r="B105" t="s">
        <v>166</v>
      </c>
      <c r="C105" t="s">
        <v>68</v>
      </c>
      <c r="D105" t="s">
        <v>167</v>
      </c>
      <c r="E105" t="s">
        <v>18</v>
      </c>
      <c r="F105" s="1" t="d">
        <v>2018-03-01</v>
      </c>
      <c r="G105" s="1" t="d">
        <v>2018-03-07</v>
      </c>
      <c r="H105" t="str">
        <f>VLOOKUP(D105,Table2[],3,FALSE)</f>
        <v>ECR</v>
      </c>
    </row>
    <row r="106" spans="1:8" x14ac:dyDescent="0.2">
      <c r="A106">
        <v>197523</v>
      </c>
      <c r="B106" t="s">
        <v>168</v>
      </c>
      <c r="C106" t="s">
        <v>68</v>
      </c>
      <c r="D106" t="s">
        <v>30</v>
      </c>
      <c r="E106" t="s">
        <v>11</v>
      </c>
      <c r="F106" s="1" t="d">
        <v>2024-07-16</v>
      </c>
      <c r="H106" t="str">
        <f>VLOOKUP(D106,Table2[],3,FALSE)</f>
        <v>EPP</v>
      </c>
    </row>
    <row r="107" spans="1:8" x14ac:dyDescent="0.2">
      <c r="A107">
        <v>112748</v>
      </c>
      <c r="B107" t="s">
        <v>169</v>
      </c>
      <c r="C107" t="s">
        <v>155</v>
      </c>
      <c r="D107" t="s">
        <v>170</v>
      </c>
      <c r="E107" t="s">
        <v>171</v>
      </c>
      <c r="F107" s="1" t="d">
        <v>2012-04-01</v>
      </c>
      <c r="G107" s="1" t="d">
        <v>2013-06-30</v>
      </c>
      <c r="H107" t="str">
        <f>VLOOKUP(D107,Table2[],3,FALSE)</f>
        <v>S&amp;D</v>
      </c>
    </row>
    <row r="108" spans="1:8" x14ac:dyDescent="0.2">
      <c r="A108">
        <v>204419</v>
      </c>
      <c r="B108" t="s">
        <v>172</v>
      </c>
      <c r="C108" t="s">
        <v>54</v>
      </c>
      <c r="D108" t="s">
        <v>66</v>
      </c>
      <c r="E108" t="s">
        <v>11</v>
      </c>
      <c r="F108" s="1" t="d">
        <v>2020-02-04</v>
      </c>
      <c r="G108" s="1" t="d">
        <v>2024-07-15</v>
      </c>
      <c r="H108" t="str">
        <f>VLOOKUP(D108,Table2[],3,FALSE)</f>
        <v>Renew Europe</v>
      </c>
    </row>
    <row r="109" spans="1:8" x14ac:dyDescent="0.2">
      <c r="A109">
        <v>197503</v>
      </c>
      <c r="B109" t="s">
        <v>173</v>
      </c>
      <c r="C109" t="s">
        <v>23</v>
      </c>
      <c r="D109" t="s">
        <v>28</v>
      </c>
      <c r="E109" t="s">
        <v>11</v>
      </c>
      <c r="F109" s="1" t="d">
        <v>2019-07-02</v>
      </c>
      <c r="G109" s="1" t="d">
        <v>2024-07-15</v>
      </c>
      <c r="H109" t="str">
        <f>VLOOKUP(D109,Table2[],3,FALSE)</f>
        <v>Greens/EFA</v>
      </c>
    </row>
    <row r="110" spans="1:8" x14ac:dyDescent="0.2">
      <c r="A110">
        <v>124875</v>
      </c>
      <c r="B110" t="s">
        <v>174</v>
      </c>
      <c r="C110" t="s">
        <v>61</v>
      </c>
      <c r="D110" t="s">
        <v>40</v>
      </c>
      <c r="E110" t="s">
        <v>18</v>
      </c>
      <c r="F110" s="1" t="d">
        <v>2024-07-16</v>
      </c>
      <c r="G110" s="1" t="d">
        <v>2026-04-13</v>
      </c>
      <c r="H110" t="str">
        <f>VLOOKUP(D110,Table2[],3,FALSE)</f>
        <v>PfE</v>
      </c>
    </row>
    <row r="111" spans="1:8" x14ac:dyDescent="0.2">
      <c r="A111">
        <v>197527</v>
      </c>
      <c r="B111" t="s">
        <v>175</v>
      </c>
      <c r="C111" t="s">
        <v>23</v>
      </c>
      <c r="D111" t="s">
        <v>38</v>
      </c>
      <c r="E111" t="s">
        <v>11</v>
      </c>
      <c r="F111" s="1" t="d">
        <v>2019-07-02</v>
      </c>
      <c r="G111" s="1" t="d">
        <v>2020-12-17</v>
      </c>
      <c r="H111" t="str">
        <f>VLOOKUP(D111,Table2[],3,FALSE)</f>
        <v>The Left</v>
      </c>
    </row>
    <row r="112" spans="1:8" x14ac:dyDescent="0.2">
      <c r="A112">
        <v>28223</v>
      </c>
      <c r="B112" t="s">
        <v>176</v>
      </c>
      <c r="C112" t="s">
        <v>20</v>
      </c>
      <c r="D112" t="s">
        <v>10</v>
      </c>
      <c r="E112" t="s">
        <v>11</v>
      </c>
      <c r="F112" s="1" t="d">
        <v>2019-07-02</v>
      </c>
      <c r="G112" s="1" t="d">
        <v>2024-07-15</v>
      </c>
      <c r="H112" t="str">
        <f>VLOOKUP(D112,Table2[],3,FALSE)</f>
        <v>EPP</v>
      </c>
    </row>
    <row r="113" spans="1:8" x14ac:dyDescent="0.2">
      <c r="A113">
        <v>37312</v>
      </c>
      <c r="B113" t="s">
        <v>177</v>
      </c>
      <c r="C113" t="s">
        <v>61</v>
      </c>
      <c r="D113" t="s">
        <v>170</v>
      </c>
      <c r="E113" t="s">
        <v>11</v>
      </c>
      <c r="F113" s="1" t="d">
        <v>2009-07-14</v>
      </c>
      <c r="G113" s="1" t="d">
        <v>2014-06-30</v>
      </c>
      <c r="H113" t="str">
        <f>VLOOKUP(D113,Table2[],3,FALSE)</f>
        <v>S&amp;D</v>
      </c>
    </row>
    <row r="114" spans="1:8" x14ac:dyDescent="0.2">
      <c r="A114">
        <v>23788</v>
      </c>
      <c r="B114" t="s">
        <v>178</v>
      </c>
      <c r="C114" t="s">
        <v>68</v>
      </c>
      <c r="D114" t="s">
        <v>179</v>
      </c>
      <c r="E114" t="s">
        <v>171</v>
      </c>
      <c r="F114" s="1" t="d">
        <v>2003-12-18</v>
      </c>
      <c r="G114" s="1" t="d">
        <v>2004-04-30</v>
      </c>
      <c r="H114" t="str">
        <f>VLOOKUP(D114,Table2[],3,FALSE)</f>
        <v>ECR</v>
      </c>
    </row>
    <row r="115" spans="1:8" x14ac:dyDescent="0.2">
      <c r="A115">
        <v>229839</v>
      </c>
      <c r="B115" t="s">
        <v>180</v>
      </c>
      <c r="C115" t="s">
        <v>20</v>
      </c>
      <c r="D115" t="s">
        <v>48</v>
      </c>
      <c r="E115" t="s">
        <v>11</v>
      </c>
      <c r="F115" s="1" t="d">
        <v>2024-07-16</v>
      </c>
      <c r="H115" t="str">
        <f>VLOOKUP(D115,Table2[],3,FALSE)</f>
        <v>S&amp;D</v>
      </c>
    </row>
    <row r="116" spans="1:8" x14ac:dyDescent="0.2">
      <c r="A116">
        <v>197635</v>
      </c>
      <c r="B116" t="s">
        <v>181</v>
      </c>
      <c r="C116" t="s">
        <v>71</v>
      </c>
      <c r="D116" t="s">
        <v>79</v>
      </c>
      <c r="E116" t="s">
        <v>11</v>
      </c>
      <c r="F116" s="1" t="d">
        <v>2019-07-02</v>
      </c>
      <c r="G116" s="1" t="d">
        <v>2024-07-15</v>
      </c>
      <c r="H116" t="str">
        <f>VLOOKUP(D116,Table2[],3,FALSE)</f>
        <v>S&amp;D</v>
      </c>
    </row>
    <row r="117" spans="1:8" x14ac:dyDescent="0.2">
      <c r="A117">
        <v>247735</v>
      </c>
      <c r="B117" t="s">
        <v>182</v>
      </c>
      <c r="C117" t="s">
        <v>13</v>
      </c>
      <c r="D117" t="s">
        <v>79</v>
      </c>
      <c r="E117" t="s">
        <v>11</v>
      </c>
      <c r="F117" s="1" t="d">
        <v>2023-09-06</v>
      </c>
      <c r="G117" s="1" t="d">
        <v>2024-07-15</v>
      </c>
      <c r="H117" t="str">
        <f>VLOOKUP(D117,Table2[],3,FALSE)</f>
        <v>S&amp;D</v>
      </c>
    </row>
    <row r="118" spans="1:8" x14ac:dyDescent="0.2">
      <c r="A118">
        <v>204416</v>
      </c>
      <c r="B118" t="s">
        <v>183</v>
      </c>
      <c r="C118" t="s">
        <v>23</v>
      </c>
      <c r="D118" t="s">
        <v>66</v>
      </c>
      <c r="E118" t="s">
        <v>11</v>
      </c>
      <c r="F118" s="1" t="d">
        <v>2020-02-01</v>
      </c>
      <c r="G118" s="1" t="d">
        <v>2024-07-15</v>
      </c>
      <c r="H118" t="str">
        <f>VLOOKUP(D118,Table2[],3,FALSE)</f>
        <v>Renew Europe</v>
      </c>
    </row>
    <row r="119" spans="1:8" x14ac:dyDescent="0.2">
      <c r="A119">
        <v>197438</v>
      </c>
      <c r="B119" t="s">
        <v>184</v>
      </c>
      <c r="C119" t="s">
        <v>155</v>
      </c>
      <c r="D119" t="s">
        <v>90</v>
      </c>
      <c r="E119" t="s">
        <v>11</v>
      </c>
      <c r="F119" s="1" t="d">
        <v>2019-07-02</v>
      </c>
      <c r="G119" s="1" t="d">
        <v>2024-07-15</v>
      </c>
      <c r="H119" t="str">
        <f>VLOOKUP(D119,Table2[],3,FALSE)</f>
        <v>EPP</v>
      </c>
    </row>
    <row r="120" spans="1:8" x14ac:dyDescent="0.2">
      <c r="A120">
        <v>197652</v>
      </c>
      <c r="B120" t="s">
        <v>185</v>
      </c>
      <c r="C120" t="s">
        <v>47</v>
      </c>
      <c r="D120" t="s">
        <v>10</v>
      </c>
      <c r="E120" t="s">
        <v>11</v>
      </c>
      <c r="F120" s="1" t="d">
        <v>2019-07-02</v>
      </c>
      <c r="G120" s="1" t="d">
        <v>2024-07-15</v>
      </c>
      <c r="H120" t="str">
        <f>VLOOKUP(D120,Table2[],3,FALSE)</f>
        <v>EPP</v>
      </c>
    </row>
    <row r="121" spans="1:8" x14ac:dyDescent="0.2">
      <c r="A121">
        <v>96812</v>
      </c>
      <c r="B121" t="s">
        <v>186</v>
      </c>
      <c r="C121" t="s">
        <v>13</v>
      </c>
      <c r="D121" t="s">
        <v>48</v>
      </c>
      <c r="E121" t="s">
        <v>11</v>
      </c>
      <c r="F121" s="1" t="d">
        <v>2024-07-16</v>
      </c>
      <c r="H121" t="str">
        <f>VLOOKUP(D121,Table2[],3,FALSE)</f>
        <v>S&amp;D</v>
      </c>
    </row>
    <row r="122" spans="1:8" x14ac:dyDescent="0.2">
      <c r="A122">
        <v>221463</v>
      </c>
      <c r="B122" t="s">
        <v>187</v>
      </c>
      <c r="C122" t="s">
        <v>155</v>
      </c>
      <c r="D122" t="s">
        <v>35</v>
      </c>
      <c r="E122" t="s">
        <v>18</v>
      </c>
      <c r="F122" s="1" t="d">
        <v>2021-07-06</v>
      </c>
      <c r="G122" s="1" t="d">
        <v>2024-07-15</v>
      </c>
      <c r="H122" t="str">
        <f>VLOOKUP(D122,Table2[],3,FALSE)</f>
        <v>ECR</v>
      </c>
    </row>
    <row r="123" spans="1:8" x14ac:dyDescent="0.2">
      <c r="A123">
        <v>23868</v>
      </c>
      <c r="B123" t="s">
        <v>188</v>
      </c>
      <c r="C123" t="s">
        <v>42</v>
      </c>
      <c r="D123" t="s">
        <v>75</v>
      </c>
      <c r="E123" t="s">
        <v>11</v>
      </c>
      <c r="F123" s="1" t="d">
        <v>2014-07-01</v>
      </c>
      <c r="G123" s="1" t="d">
        <v>2019-07-01</v>
      </c>
      <c r="H123" t="str">
        <f>VLOOKUP(D123,Table2[],3,FALSE)</f>
        <v>S&amp;D</v>
      </c>
    </row>
    <row r="124" spans="1:8" x14ac:dyDescent="0.2">
      <c r="A124">
        <v>197514</v>
      </c>
      <c r="B124" t="s">
        <v>189</v>
      </c>
      <c r="C124" t="s">
        <v>68</v>
      </c>
      <c r="D124" t="s">
        <v>30</v>
      </c>
      <c r="E124" t="s">
        <v>31</v>
      </c>
      <c r="F124" s="1" t="d">
        <v>2024-07-16</v>
      </c>
      <c r="H124" t="str">
        <f>VLOOKUP(D124,Table2[],3,FALSE)</f>
        <v>EPP</v>
      </c>
    </row>
    <row r="125" spans="1:8" x14ac:dyDescent="0.2">
      <c r="A125">
        <v>124713</v>
      </c>
      <c r="B125" t="s">
        <v>190</v>
      </c>
      <c r="C125" t="s">
        <v>101</v>
      </c>
      <c r="D125" t="s">
        <v>107</v>
      </c>
      <c r="E125" t="s">
        <v>11</v>
      </c>
      <c r="F125" s="1" t="d">
        <v>2014-07-01</v>
      </c>
      <c r="G125" s="1" t="d">
        <v>2019-07-01</v>
      </c>
      <c r="H125" t="str">
        <f>VLOOKUP(D125,Table2[],3,FALSE)</f>
        <v>EPP</v>
      </c>
    </row>
    <row r="126" spans="1:8" x14ac:dyDescent="0.2">
      <c r="A126">
        <v>204336</v>
      </c>
      <c r="B126" t="s">
        <v>191</v>
      </c>
      <c r="C126" t="s">
        <v>42</v>
      </c>
      <c r="D126" t="s">
        <v>10</v>
      </c>
      <c r="E126" t="s">
        <v>11</v>
      </c>
      <c r="F126" s="1" t="d">
        <v>2020-02-01</v>
      </c>
      <c r="G126" s="1" t="d">
        <v>2024-07-15</v>
      </c>
      <c r="H126" t="str">
        <f>VLOOKUP(D126,Table2[],3,FALSE)</f>
        <v>EPP</v>
      </c>
    </row>
    <row r="127" spans="1:8" x14ac:dyDescent="0.2">
      <c r="A127">
        <v>185974</v>
      </c>
      <c r="B127" t="s">
        <v>192</v>
      </c>
      <c r="C127" t="s">
        <v>13</v>
      </c>
      <c r="D127" t="s">
        <v>21</v>
      </c>
      <c r="E127" t="s">
        <v>11</v>
      </c>
      <c r="F127" s="1" t="d">
        <v>2017-01-03</v>
      </c>
      <c r="G127" s="1" t="d">
        <v>2019-07-01</v>
      </c>
      <c r="H127" t="str">
        <f>VLOOKUP(D127,Table2[],3,FALSE)</f>
        <v>Greens/EFA</v>
      </c>
    </row>
    <row r="128" spans="1:8" x14ac:dyDescent="0.2">
      <c r="A128">
        <v>123562</v>
      </c>
      <c r="B128" t="s">
        <v>193</v>
      </c>
      <c r="C128" t="s">
        <v>50</v>
      </c>
      <c r="D128" t="s">
        <v>35</v>
      </c>
      <c r="E128" t="s">
        <v>31</v>
      </c>
      <c r="F128" s="1" t="d">
        <v>2022-04-05</v>
      </c>
      <c r="G128" s="1" t="d">
        <v>2024-07-15</v>
      </c>
      <c r="H128" t="str">
        <f>VLOOKUP(D128,Table2[],3,FALSE)</f>
        <v>ECR</v>
      </c>
    </row>
    <row r="129" spans="1:8" x14ac:dyDescent="0.2">
      <c r="A129">
        <v>197557</v>
      </c>
      <c r="B129" t="s">
        <v>194</v>
      </c>
      <c r="C129" t="s">
        <v>23</v>
      </c>
      <c r="D129" t="s">
        <v>17</v>
      </c>
      <c r="E129" t="s">
        <v>11</v>
      </c>
      <c r="F129" s="1" t="d">
        <v>2024-07-16</v>
      </c>
      <c r="H129" t="str">
        <f>VLOOKUP(D129,Table2[],3,FALSE)</f>
        <v>Renew Europe</v>
      </c>
    </row>
    <row r="130" spans="1:8" x14ac:dyDescent="0.2">
      <c r="A130">
        <v>136236</v>
      </c>
      <c r="B130" t="s">
        <v>195</v>
      </c>
      <c r="C130" t="s">
        <v>71</v>
      </c>
      <c r="D130" t="s">
        <v>26</v>
      </c>
      <c r="E130" t="s">
        <v>11</v>
      </c>
      <c r="F130" s="1" t="d">
        <v>2021-07-06</v>
      </c>
      <c r="G130" s="1" t="d">
        <v>2024-07-15</v>
      </c>
      <c r="H130" t="str">
        <f>VLOOKUP(D130,Table2[],3,FALSE)</f>
        <v>The Left</v>
      </c>
    </row>
    <row r="131" spans="1:8" x14ac:dyDescent="0.2">
      <c r="A131">
        <v>96820</v>
      </c>
      <c r="B131" t="s">
        <v>196</v>
      </c>
      <c r="C131" t="s">
        <v>71</v>
      </c>
      <c r="D131" t="s">
        <v>38</v>
      </c>
      <c r="E131" t="s">
        <v>31</v>
      </c>
      <c r="F131" s="1" t="d">
        <v>2019-07-02</v>
      </c>
      <c r="G131" s="1" t="d">
        <v>2020-12-17</v>
      </c>
      <c r="H131" t="str">
        <f>VLOOKUP(D131,Table2[],3,FALSE)</f>
        <v>The Left</v>
      </c>
    </row>
    <row r="132" spans="1:8" x14ac:dyDescent="0.2">
      <c r="A132">
        <v>197494</v>
      </c>
      <c r="B132" t="s">
        <v>197</v>
      </c>
      <c r="C132" t="s">
        <v>23</v>
      </c>
      <c r="D132" t="s">
        <v>66</v>
      </c>
      <c r="E132" t="s">
        <v>11</v>
      </c>
      <c r="F132" s="1" t="d">
        <v>2019-07-02</v>
      </c>
      <c r="G132" s="1" t="d">
        <v>2024-07-15</v>
      </c>
      <c r="H132" t="str">
        <f>VLOOKUP(D132,Table2[],3,FALSE)</f>
        <v>Renew Europe</v>
      </c>
    </row>
    <row r="133" spans="1:8" x14ac:dyDescent="0.2">
      <c r="A133">
        <v>197533</v>
      </c>
      <c r="B133" t="s">
        <v>198</v>
      </c>
      <c r="C133" t="s">
        <v>23</v>
      </c>
      <c r="D133" t="s">
        <v>26</v>
      </c>
      <c r="E133" t="s">
        <v>118</v>
      </c>
      <c r="F133" s="1" t="d">
        <v>2020-12-18</v>
      </c>
      <c r="G133" s="1" t="d">
        <v>2024-07-15</v>
      </c>
      <c r="H133" t="str">
        <f>VLOOKUP(D133,Table2[],3,FALSE)</f>
        <v>The Left</v>
      </c>
    </row>
    <row r="134" spans="1:8" x14ac:dyDescent="0.2">
      <c r="A134">
        <v>130833</v>
      </c>
      <c r="B134" t="s">
        <v>199</v>
      </c>
      <c r="C134" t="s">
        <v>106</v>
      </c>
      <c r="D134" t="s">
        <v>26</v>
      </c>
      <c r="E134" t="s">
        <v>11</v>
      </c>
      <c r="F134" s="1" t="d">
        <v>2020-12-18</v>
      </c>
      <c r="G134" s="1" t="d">
        <v>2024-07-15</v>
      </c>
      <c r="H134" t="str">
        <f>VLOOKUP(D134,Table2[],3,FALSE)</f>
        <v>The Left</v>
      </c>
    </row>
    <row r="135" spans="1:8" x14ac:dyDescent="0.2">
      <c r="A135">
        <v>2054</v>
      </c>
      <c r="B135" t="s">
        <v>200</v>
      </c>
      <c r="C135" t="s">
        <v>37</v>
      </c>
      <c r="D135" t="s">
        <v>201</v>
      </c>
      <c r="E135" t="s">
        <v>202</v>
      </c>
      <c r="F135" s="1" t="d">
        <v>1999-07-20</v>
      </c>
      <c r="G135" s="1" t="d">
        <v>2002-01-07</v>
      </c>
      <c r="H135" t="str">
        <f>VLOOKUP(D135,Table2[],3,FALSE)</f>
        <v>Greens/EFA</v>
      </c>
    </row>
    <row r="136" spans="1:8" x14ac:dyDescent="0.2">
      <c r="A136">
        <v>204335</v>
      </c>
      <c r="B136" t="s">
        <v>203</v>
      </c>
      <c r="C136" t="s">
        <v>37</v>
      </c>
      <c r="D136" t="s">
        <v>28</v>
      </c>
      <c r="E136" t="s">
        <v>11</v>
      </c>
      <c r="F136" s="1" t="d">
        <v>2020-02-01</v>
      </c>
      <c r="G136" s="1" t="d">
        <v>2024-07-15</v>
      </c>
      <c r="H136" t="str">
        <f>VLOOKUP(D136,Table2[],3,FALSE)</f>
        <v>Greens/EFA</v>
      </c>
    </row>
    <row r="137" spans="1:8" x14ac:dyDescent="0.2">
      <c r="A137">
        <v>244571</v>
      </c>
      <c r="B137" t="s">
        <v>204</v>
      </c>
      <c r="C137" t="s">
        <v>106</v>
      </c>
      <c r="D137" t="s">
        <v>79</v>
      </c>
      <c r="E137" t="s">
        <v>11</v>
      </c>
      <c r="F137" s="1" t="d">
        <v>2023-05-03</v>
      </c>
      <c r="G137" s="1" t="d">
        <v>2024-07-15</v>
      </c>
      <c r="H137" t="str">
        <f>VLOOKUP(D137,Table2[],3,FALSE)</f>
        <v>S&amp;D</v>
      </c>
    </row>
    <row r="138" spans="1:8" x14ac:dyDescent="0.2">
      <c r="A138">
        <v>197430</v>
      </c>
      <c r="B138" t="s">
        <v>205</v>
      </c>
      <c r="C138" t="s">
        <v>20</v>
      </c>
      <c r="D138" t="s">
        <v>66</v>
      </c>
      <c r="E138" t="s">
        <v>11</v>
      </c>
      <c r="F138" s="1" t="d">
        <v>2019-07-02</v>
      </c>
      <c r="G138" s="1" t="d">
        <v>2024-07-15</v>
      </c>
      <c r="H138" t="str">
        <f>VLOOKUP(D138,Table2[],3,FALSE)</f>
        <v>Renew Europe</v>
      </c>
    </row>
    <row r="139" spans="1:8" x14ac:dyDescent="0.2">
      <c r="A139">
        <v>197623</v>
      </c>
      <c r="B139" t="s">
        <v>206</v>
      </c>
      <c r="C139" t="s">
        <v>23</v>
      </c>
      <c r="D139" t="s">
        <v>24</v>
      </c>
      <c r="E139" t="s">
        <v>11</v>
      </c>
      <c r="F139" s="1" t="d">
        <v>2019-07-02</v>
      </c>
      <c r="G139" s="1" t="d">
        <v>2024-07-15</v>
      </c>
      <c r="H139" t="str">
        <f>VLOOKUP(D139,Table2[],3,FALSE)</f>
        <v>ID</v>
      </c>
    </row>
    <row r="140" spans="1:8" x14ac:dyDescent="0.2">
      <c r="A140">
        <v>197827</v>
      </c>
      <c r="B140" t="s">
        <v>207</v>
      </c>
      <c r="C140" t="s">
        <v>13</v>
      </c>
      <c r="D140" t="s">
        <v>38</v>
      </c>
      <c r="E140" t="s">
        <v>11</v>
      </c>
      <c r="F140" s="1" t="d">
        <v>2019-07-02</v>
      </c>
      <c r="G140" s="1" t="d">
        <v>2020-12-17</v>
      </c>
      <c r="H140" t="str">
        <f>VLOOKUP(D140,Table2[],3,FALSE)</f>
        <v>The Left</v>
      </c>
    </row>
    <row r="141" spans="1:8" x14ac:dyDescent="0.2">
      <c r="A141">
        <v>185341</v>
      </c>
      <c r="B141" t="s">
        <v>208</v>
      </c>
      <c r="C141" t="s">
        <v>155</v>
      </c>
      <c r="D141" t="s">
        <v>10</v>
      </c>
      <c r="E141" t="s">
        <v>11</v>
      </c>
      <c r="F141" s="1" t="d">
        <v>2019-07-02</v>
      </c>
      <c r="G141" s="1" t="d">
        <v>2022-01-24</v>
      </c>
      <c r="H141" t="str">
        <f>VLOOKUP(D141,Table2[],3,FALSE)</f>
        <v>EPP</v>
      </c>
    </row>
    <row r="142" spans="1:8" x14ac:dyDescent="0.2">
      <c r="A142">
        <v>124846</v>
      </c>
      <c r="B142" t="s">
        <v>209</v>
      </c>
      <c r="C142" t="s">
        <v>54</v>
      </c>
      <c r="D142" t="s">
        <v>79</v>
      </c>
      <c r="E142" t="s">
        <v>11</v>
      </c>
      <c r="F142" s="1" t="d">
        <v>2019-07-02</v>
      </c>
      <c r="G142" s="1" t="d">
        <v>2024-07-15</v>
      </c>
      <c r="H142" t="str">
        <f>VLOOKUP(D142,Table2[],3,FALSE)</f>
        <v>S&amp;D</v>
      </c>
    </row>
    <row r="143" spans="1:8" x14ac:dyDescent="0.2">
      <c r="A143">
        <v>202073</v>
      </c>
      <c r="B143" t="s">
        <v>210</v>
      </c>
      <c r="C143" t="s">
        <v>211</v>
      </c>
      <c r="D143" t="s">
        <v>79</v>
      </c>
      <c r="E143" t="s">
        <v>11</v>
      </c>
      <c r="F143" s="1" t="d">
        <v>2019-12-10</v>
      </c>
      <c r="G143" s="1" t="d">
        <v>2024-07-15</v>
      </c>
      <c r="H143" t="str">
        <f>VLOOKUP(D143,Table2[],3,FALSE)</f>
        <v>S&amp;D</v>
      </c>
    </row>
    <row r="144" spans="1:8" x14ac:dyDescent="0.2">
      <c r="A144">
        <v>197627</v>
      </c>
      <c r="B144" t="s">
        <v>212</v>
      </c>
      <c r="C144" t="s">
        <v>23</v>
      </c>
      <c r="D144" t="s">
        <v>24</v>
      </c>
      <c r="E144" t="s">
        <v>11</v>
      </c>
      <c r="F144" s="1" t="d">
        <v>2019-07-02</v>
      </c>
      <c r="G144" s="1" t="d">
        <v>2024-07-15</v>
      </c>
      <c r="H144" t="str">
        <f>VLOOKUP(D144,Table2[],3,FALSE)</f>
        <v>ID</v>
      </c>
    </row>
    <row r="145" spans="1:8" x14ac:dyDescent="0.2">
      <c r="A145">
        <v>124704</v>
      </c>
      <c r="B145" t="s">
        <v>213</v>
      </c>
      <c r="C145" t="s">
        <v>101</v>
      </c>
      <c r="D145" t="s">
        <v>10</v>
      </c>
      <c r="E145" t="s">
        <v>11</v>
      </c>
      <c r="F145" s="1" t="d">
        <v>2019-07-02</v>
      </c>
      <c r="G145" s="1" t="d">
        <v>2024-07-15</v>
      </c>
      <c r="H145" t="str">
        <f>VLOOKUP(D145,Table2[],3,FALSE)</f>
        <v>EPP</v>
      </c>
    </row>
    <row r="146" spans="1:8" x14ac:dyDescent="0.2">
      <c r="A146">
        <v>193292</v>
      </c>
      <c r="B146" t="s">
        <v>214</v>
      </c>
      <c r="C146" t="s">
        <v>211</v>
      </c>
      <c r="D146" t="s">
        <v>21</v>
      </c>
      <c r="E146" t="s">
        <v>11</v>
      </c>
      <c r="F146" s="1" t="d">
        <v>2018-06-20</v>
      </c>
      <c r="G146" s="1" t="d">
        <v>2019-07-01</v>
      </c>
      <c r="H146" t="str">
        <f>VLOOKUP(D146,Table2[],3,FALSE)</f>
        <v>Greens/EFA</v>
      </c>
    </row>
    <row r="147" spans="1:8" x14ac:dyDescent="0.2">
      <c r="A147">
        <v>28297</v>
      </c>
      <c r="B147" t="s">
        <v>215</v>
      </c>
      <c r="C147" t="s">
        <v>68</v>
      </c>
      <c r="D147" t="s">
        <v>35</v>
      </c>
      <c r="E147" t="s">
        <v>11</v>
      </c>
      <c r="F147" s="1" t="d">
        <v>2019-07-02</v>
      </c>
      <c r="G147" s="1" t="d">
        <v>2024-07-15</v>
      </c>
      <c r="H147" t="str">
        <f>VLOOKUP(D147,Table2[],3,FALSE)</f>
        <v>ECR</v>
      </c>
    </row>
    <row r="148" spans="1:8" x14ac:dyDescent="0.2">
      <c r="A148">
        <v>127096</v>
      </c>
      <c r="B148" t="s">
        <v>216</v>
      </c>
      <c r="C148" t="s">
        <v>13</v>
      </c>
      <c r="D148" t="s">
        <v>79</v>
      </c>
      <c r="E148" t="s">
        <v>11</v>
      </c>
      <c r="F148" s="1" t="d">
        <v>2019-07-02</v>
      </c>
      <c r="G148" s="1" t="d">
        <v>2024-07-15</v>
      </c>
      <c r="H148" t="str">
        <f>VLOOKUP(D148,Table2[],3,FALSE)</f>
        <v>S&amp;D</v>
      </c>
    </row>
    <row r="149" spans="1:8" x14ac:dyDescent="0.2">
      <c r="A149">
        <v>101039</v>
      </c>
      <c r="B149" t="s">
        <v>217</v>
      </c>
      <c r="C149" t="s">
        <v>54</v>
      </c>
      <c r="D149" t="s">
        <v>24</v>
      </c>
      <c r="E149" t="s">
        <v>11</v>
      </c>
      <c r="F149" s="1" t="d">
        <v>2019-07-02</v>
      </c>
      <c r="G149" s="1" t="d">
        <v>2024-07-15</v>
      </c>
      <c r="H149" t="str">
        <f>VLOOKUP(D149,Table2[],3,FALSE)</f>
        <v>ID</v>
      </c>
    </row>
    <row r="150" spans="1:8" x14ac:dyDescent="0.2">
      <c r="A150">
        <v>124821</v>
      </c>
      <c r="B150" t="s">
        <v>218</v>
      </c>
      <c r="C150" t="s">
        <v>54</v>
      </c>
      <c r="D150" t="s">
        <v>75</v>
      </c>
      <c r="E150" t="s">
        <v>11</v>
      </c>
      <c r="F150" s="1" t="d">
        <v>2014-07-01</v>
      </c>
      <c r="G150" s="1" t="d">
        <v>2019-07-01</v>
      </c>
      <c r="H150" t="str">
        <f>VLOOKUP(D150,Table2[],3,FALSE)</f>
        <v>S&amp;D</v>
      </c>
    </row>
    <row r="151" spans="1:8" x14ac:dyDescent="0.2">
      <c r="A151">
        <v>96810</v>
      </c>
      <c r="B151" t="s">
        <v>219</v>
      </c>
      <c r="C151" t="s">
        <v>54</v>
      </c>
      <c r="D151" t="s">
        <v>117</v>
      </c>
      <c r="E151" t="s">
        <v>18</v>
      </c>
      <c r="F151" s="1" t="d">
        <v>2024-07-16</v>
      </c>
      <c r="H151" t="str">
        <f>VLOOKUP(D151,Table2[],3,FALSE)</f>
        <v>ECR</v>
      </c>
    </row>
    <row r="152" spans="1:8" x14ac:dyDescent="0.2">
      <c r="A152">
        <v>197804</v>
      </c>
      <c r="B152" t="s">
        <v>220</v>
      </c>
      <c r="C152" t="s">
        <v>54</v>
      </c>
      <c r="D152" t="s">
        <v>90</v>
      </c>
      <c r="E152" t="s">
        <v>11</v>
      </c>
      <c r="F152" s="1" t="d">
        <v>2019-07-02</v>
      </c>
      <c r="G152" s="1" t="d">
        <v>2024-07-15</v>
      </c>
      <c r="H152" t="str">
        <f>VLOOKUP(D152,Table2[],3,FALSE)</f>
        <v>EPP</v>
      </c>
    </row>
    <row r="153" spans="1:8" x14ac:dyDescent="0.2">
      <c r="A153">
        <v>197395</v>
      </c>
      <c r="B153" t="s">
        <v>221</v>
      </c>
      <c r="C153" t="s">
        <v>50</v>
      </c>
      <c r="D153" t="s">
        <v>28</v>
      </c>
      <c r="E153" t="s">
        <v>31</v>
      </c>
      <c r="F153" s="1" t="d">
        <v>2019-07-02</v>
      </c>
      <c r="G153" s="1" t="d">
        <v>2024-07-15</v>
      </c>
      <c r="H153" t="str">
        <f>VLOOKUP(D153,Table2[],3,FALSE)</f>
        <v>Greens/EFA</v>
      </c>
    </row>
    <row r="154" spans="1:8" x14ac:dyDescent="0.2">
      <c r="A154">
        <v>28615</v>
      </c>
      <c r="B154" t="s">
        <v>222</v>
      </c>
      <c r="C154" t="s">
        <v>223</v>
      </c>
      <c r="D154" t="s">
        <v>159</v>
      </c>
      <c r="E154" t="s">
        <v>31</v>
      </c>
      <c r="F154" s="1" t="d">
        <v>2007-07-20</v>
      </c>
      <c r="G154" s="1" t="d">
        <v>2009-07-13</v>
      </c>
      <c r="H154" t="str">
        <f>VLOOKUP(D154,Table2[],3,FALSE)</f>
        <v>ECR</v>
      </c>
    </row>
    <row r="155" spans="1:8" x14ac:dyDescent="0.2">
      <c r="A155">
        <v>28390</v>
      </c>
      <c r="B155" t="s">
        <v>224</v>
      </c>
      <c r="C155" t="s">
        <v>13</v>
      </c>
      <c r="D155" t="s">
        <v>225</v>
      </c>
      <c r="E155" t="s">
        <v>11</v>
      </c>
      <c r="F155" s="1" t="d">
        <v>2004-07-20</v>
      </c>
      <c r="G155" s="1" t="d">
        <v>2009-07-13</v>
      </c>
      <c r="H155" t="str">
        <f>VLOOKUP(D155,Table2[],3,FALSE)</f>
        <v>EPP</v>
      </c>
    </row>
    <row r="156" spans="1:8" x14ac:dyDescent="0.2">
      <c r="A156">
        <v>96936</v>
      </c>
      <c r="B156" t="s">
        <v>226</v>
      </c>
      <c r="C156" t="s">
        <v>13</v>
      </c>
      <c r="D156" t="s">
        <v>30</v>
      </c>
      <c r="E156" t="s">
        <v>11</v>
      </c>
      <c r="F156" s="1" t="d">
        <v>2024-07-16</v>
      </c>
      <c r="H156" t="str">
        <f>VLOOKUP(D156,Table2[],3,FALSE)</f>
        <v>EPP</v>
      </c>
    </row>
    <row r="157" spans="1:8" x14ac:dyDescent="0.2">
      <c r="A157">
        <v>197779</v>
      </c>
      <c r="B157" t="s">
        <v>227</v>
      </c>
      <c r="C157" t="s">
        <v>13</v>
      </c>
      <c r="D157" t="s">
        <v>66</v>
      </c>
      <c r="E157" t="s">
        <v>11</v>
      </c>
      <c r="F157" s="1" t="d">
        <v>2019-07-02</v>
      </c>
      <c r="G157" s="1" t="d">
        <v>2024-07-15</v>
      </c>
      <c r="H157" t="str">
        <f>VLOOKUP(D157,Table2[],3,FALSE)</f>
        <v>Renew Europe</v>
      </c>
    </row>
    <row r="158" spans="1:8" x14ac:dyDescent="0.2">
      <c r="A158">
        <v>197778</v>
      </c>
      <c r="B158" t="s">
        <v>228</v>
      </c>
      <c r="C158" t="s">
        <v>16</v>
      </c>
      <c r="D158" t="s">
        <v>10</v>
      </c>
      <c r="E158" t="s">
        <v>11</v>
      </c>
      <c r="F158" s="1" t="d">
        <v>2019-07-02</v>
      </c>
      <c r="G158" s="1" t="d">
        <v>2024-07-15</v>
      </c>
      <c r="H158" t="str">
        <f>VLOOKUP(D158,Table2[],3,FALSE)</f>
        <v>EPP</v>
      </c>
    </row>
    <row r="159" spans="1:8" x14ac:dyDescent="0.2">
      <c r="A159">
        <v>37324</v>
      </c>
      <c r="B159" t="s">
        <v>229</v>
      </c>
      <c r="C159" t="s">
        <v>83</v>
      </c>
      <c r="D159" t="s">
        <v>230</v>
      </c>
      <c r="E159" t="s">
        <v>11</v>
      </c>
      <c r="F159" s="1" t="d">
        <v>2007-01-01</v>
      </c>
      <c r="G159" s="1" t="d">
        <v>2007-07-19</v>
      </c>
      <c r="H159" t="str">
        <f>VLOOKUP(D159,Table2[],3,FALSE)</f>
        <v>EPP</v>
      </c>
    </row>
    <row r="160" spans="1:8" x14ac:dyDescent="0.2">
      <c r="A160">
        <v>4289</v>
      </c>
      <c r="B160" t="s">
        <v>231</v>
      </c>
      <c r="C160" t="s">
        <v>20</v>
      </c>
      <c r="D160" t="s">
        <v>225</v>
      </c>
      <c r="E160" t="s">
        <v>18</v>
      </c>
      <c r="F160" s="1" t="d">
        <v>2004-11-14</v>
      </c>
      <c r="G160" s="1" t="d">
        <v>2009-07-13</v>
      </c>
      <c r="H160" t="str">
        <f>VLOOKUP(D160,Table2[],3,FALSE)</f>
        <v>EPP</v>
      </c>
    </row>
    <row r="161" spans="1:8" x14ac:dyDescent="0.2">
      <c r="A161">
        <v>204400</v>
      </c>
      <c r="B161" t="s">
        <v>232</v>
      </c>
      <c r="C161" t="s">
        <v>13</v>
      </c>
      <c r="D161" t="s">
        <v>30</v>
      </c>
      <c r="E161" t="s">
        <v>11</v>
      </c>
      <c r="F161" s="1" t="d">
        <v>2024-07-16</v>
      </c>
      <c r="H161" t="str">
        <f>VLOOKUP(D161,Table2[],3,FALSE)</f>
        <v>EPP</v>
      </c>
    </row>
    <row r="162" spans="1:8" x14ac:dyDescent="0.2">
      <c r="A162">
        <v>190518</v>
      </c>
      <c r="B162" t="s">
        <v>233</v>
      </c>
      <c r="C162" t="s">
        <v>20</v>
      </c>
      <c r="D162" t="s">
        <v>24</v>
      </c>
      <c r="E162" t="s">
        <v>31</v>
      </c>
      <c r="F162" s="1" t="d">
        <v>2019-07-02</v>
      </c>
      <c r="G162" s="1" t="d">
        <v>2022-02-13</v>
      </c>
      <c r="H162" t="str">
        <f>VLOOKUP(D162,Table2[],3,FALSE)</f>
        <v>ID</v>
      </c>
    </row>
    <row r="163" spans="1:8" x14ac:dyDescent="0.2">
      <c r="A163">
        <v>96899</v>
      </c>
      <c r="B163" t="s">
        <v>234</v>
      </c>
      <c r="C163" t="s">
        <v>71</v>
      </c>
      <c r="D163" t="s">
        <v>33</v>
      </c>
      <c r="E163" t="s">
        <v>11</v>
      </c>
      <c r="F163" s="1" t="d">
        <v>2009-07-14</v>
      </c>
      <c r="G163" s="1" t="d">
        <v>2014-06-30</v>
      </c>
      <c r="H163" t="str">
        <f>VLOOKUP(D163,Table2[],3,FALSE)</f>
        <v>EPP</v>
      </c>
    </row>
    <row r="164" spans="1:8" x14ac:dyDescent="0.2">
      <c r="A164">
        <v>124726</v>
      </c>
      <c r="B164" t="s">
        <v>235</v>
      </c>
      <c r="C164" t="s">
        <v>37</v>
      </c>
      <c r="D164" t="s">
        <v>107</v>
      </c>
      <c r="E164" t="s">
        <v>11</v>
      </c>
      <c r="F164" s="1" t="d">
        <v>2014-07-01</v>
      </c>
      <c r="G164" s="1" t="d">
        <v>2019-07-01</v>
      </c>
      <c r="H164" t="str">
        <f>VLOOKUP(D164,Table2[],3,FALSE)</f>
        <v>EPP</v>
      </c>
    </row>
    <row r="165" spans="1:8" x14ac:dyDescent="0.2">
      <c r="A165">
        <v>125063</v>
      </c>
      <c r="B165" t="s">
        <v>236</v>
      </c>
      <c r="C165" t="s">
        <v>106</v>
      </c>
      <c r="D165" t="s">
        <v>66</v>
      </c>
      <c r="E165" t="s">
        <v>11</v>
      </c>
      <c r="F165" s="1" t="d">
        <v>2022-05-05</v>
      </c>
      <c r="G165" s="1" t="d">
        <v>2024-07-15</v>
      </c>
      <c r="H165" t="str">
        <f>VLOOKUP(D165,Table2[],3,FALSE)</f>
        <v>Renew Europe</v>
      </c>
    </row>
    <row r="166" spans="1:8" x14ac:dyDescent="0.2">
      <c r="A166">
        <v>197764</v>
      </c>
      <c r="B166" t="s">
        <v>237</v>
      </c>
      <c r="C166" t="s">
        <v>42</v>
      </c>
      <c r="D166" t="s">
        <v>90</v>
      </c>
      <c r="E166" t="s">
        <v>11</v>
      </c>
      <c r="F166" s="1" t="d">
        <v>2019-07-02</v>
      </c>
      <c r="G166" s="1" t="d">
        <v>2024-07-15</v>
      </c>
      <c r="H166" t="str">
        <f>VLOOKUP(D166,Table2[],3,FALSE)</f>
        <v>EPP</v>
      </c>
    </row>
    <row r="167" spans="1:8" x14ac:dyDescent="0.2">
      <c r="A167">
        <v>124833</v>
      </c>
      <c r="B167" t="s">
        <v>238</v>
      </c>
      <c r="C167" t="s">
        <v>54</v>
      </c>
      <c r="D167" t="s">
        <v>239</v>
      </c>
      <c r="E167" t="s">
        <v>11</v>
      </c>
      <c r="F167" s="1" t="d">
        <v>2014-10-16</v>
      </c>
      <c r="G167" s="1" t="d">
        <v>2014-10-19</v>
      </c>
      <c r="H167" t="str">
        <f>VLOOKUP(D167,Table2[],3,FALSE)</f>
        <v>Non-attached</v>
      </c>
    </row>
    <row r="168" spans="1:8" x14ac:dyDescent="0.2">
      <c r="A168">
        <v>96934</v>
      </c>
      <c r="B168" t="s">
        <v>240</v>
      </c>
      <c r="C168" t="s">
        <v>223</v>
      </c>
      <c r="D168" t="s">
        <v>30</v>
      </c>
      <c r="E168" t="s">
        <v>11</v>
      </c>
      <c r="F168" s="1" t="d">
        <v>2024-07-16</v>
      </c>
      <c r="H168" t="str">
        <f>VLOOKUP(D168,Table2[],3,FALSE)</f>
        <v>EPP</v>
      </c>
    </row>
    <row r="169" spans="1:8" x14ac:dyDescent="0.2">
      <c r="A169">
        <v>124812</v>
      </c>
      <c r="B169" t="s">
        <v>241</v>
      </c>
      <c r="C169" t="s">
        <v>54</v>
      </c>
      <c r="D169" t="s">
        <v>66</v>
      </c>
      <c r="E169" t="s">
        <v>11</v>
      </c>
      <c r="F169" s="1" t="d">
        <v>2024-02-08</v>
      </c>
      <c r="G169" s="1" t="d">
        <v>2024-07-15</v>
      </c>
      <c r="H169" t="str">
        <f>VLOOKUP(D169,Table2[],3,FALSE)</f>
        <v>Renew Europe</v>
      </c>
    </row>
    <row r="170" spans="1:8" x14ac:dyDescent="0.2">
      <c r="A170">
        <v>124586</v>
      </c>
      <c r="B170" t="s">
        <v>242</v>
      </c>
      <c r="C170" t="s">
        <v>73</v>
      </c>
      <c r="D170" t="s">
        <v>33</v>
      </c>
      <c r="E170" t="s">
        <v>11</v>
      </c>
      <c r="F170" s="1" t="d">
        <v>2014-05-15</v>
      </c>
      <c r="G170" s="1" t="d">
        <v>2014-06-30</v>
      </c>
      <c r="H170" t="str">
        <f>VLOOKUP(D170,Table2[],3,FALSE)</f>
        <v>EPP</v>
      </c>
    </row>
    <row r="171" spans="1:8" x14ac:dyDescent="0.2">
      <c r="A171">
        <v>197581</v>
      </c>
      <c r="B171" t="s">
        <v>243</v>
      </c>
      <c r="C171" t="s">
        <v>23</v>
      </c>
      <c r="D171" t="s">
        <v>17</v>
      </c>
      <c r="E171" t="s">
        <v>11</v>
      </c>
      <c r="F171" s="1" t="d">
        <v>2024-07-16</v>
      </c>
      <c r="H171" t="str">
        <f>VLOOKUP(D171,Table2[],3,FALSE)</f>
        <v>Renew Europe</v>
      </c>
    </row>
    <row r="172" spans="1:8" x14ac:dyDescent="0.2">
      <c r="A172">
        <v>197406</v>
      </c>
      <c r="B172" t="s">
        <v>244</v>
      </c>
      <c r="C172" t="s">
        <v>50</v>
      </c>
      <c r="D172" t="s">
        <v>30</v>
      </c>
      <c r="E172" t="s">
        <v>11</v>
      </c>
      <c r="F172" s="1" t="d">
        <v>2024-07-16</v>
      </c>
      <c r="H172" t="str">
        <f>VLOOKUP(D172,Table2[],3,FALSE)</f>
        <v>EPP</v>
      </c>
    </row>
    <row r="173" spans="1:8" x14ac:dyDescent="0.2">
      <c r="A173">
        <v>239260</v>
      </c>
      <c r="B173" t="s">
        <v>245</v>
      </c>
      <c r="C173" t="s">
        <v>54</v>
      </c>
      <c r="D173" t="s">
        <v>117</v>
      </c>
      <c r="E173" t="s">
        <v>246</v>
      </c>
      <c r="F173" s="1" t="d">
        <v>2024-07-16</v>
      </c>
      <c r="H173" t="str">
        <f>VLOOKUP(D173,Table2[],3,FALSE)</f>
        <v>ECR</v>
      </c>
    </row>
    <row r="174" spans="1:8" x14ac:dyDescent="0.2">
      <c r="A174">
        <v>197401</v>
      </c>
      <c r="B174" t="s">
        <v>247</v>
      </c>
      <c r="C174" t="s">
        <v>50</v>
      </c>
      <c r="D174" t="s">
        <v>17</v>
      </c>
      <c r="E174" t="s">
        <v>18</v>
      </c>
      <c r="F174" s="1" t="d">
        <v>2024-07-16</v>
      </c>
      <c r="H174" t="str">
        <f>VLOOKUP(D174,Table2[],3,FALSE)</f>
        <v>Renew Europe</v>
      </c>
    </row>
    <row r="175" spans="1:8" x14ac:dyDescent="0.2">
      <c r="A175">
        <v>240478</v>
      </c>
      <c r="B175" t="s">
        <v>248</v>
      </c>
      <c r="C175" t="s">
        <v>54</v>
      </c>
      <c r="D175" t="s">
        <v>79</v>
      </c>
      <c r="E175" t="s">
        <v>11</v>
      </c>
      <c r="F175" s="1" t="d">
        <v>2022-12-06</v>
      </c>
      <c r="G175" s="1" t="d">
        <v>2024-07-15</v>
      </c>
      <c r="H175" t="str">
        <f>VLOOKUP(D175,Table2[],3,FALSE)</f>
        <v>S&amp;D</v>
      </c>
    </row>
    <row r="176" spans="1:8" x14ac:dyDescent="0.2">
      <c r="A176">
        <v>28372</v>
      </c>
      <c r="B176" t="s">
        <v>249</v>
      </c>
      <c r="C176" t="s">
        <v>68</v>
      </c>
      <c r="D176" t="s">
        <v>167</v>
      </c>
      <c r="E176" t="s">
        <v>11</v>
      </c>
      <c r="F176" s="1" t="d">
        <v>2014-07-01</v>
      </c>
      <c r="G176" s="1" t="d">
        <v>2014-07-07</v>
      </c>
      <c r="H176" t="str">
        <f>VLOOKUP(D176,Table2[],3,FALSE)</f>
        <v>ECR</v>
      </c>
    </row>
    <row r="177" spans="1:8" x14ac:dyDescent="0.2">
      <c r="A177">
        <v>197709</v>
      </c>
      <c r="B177" t="s">
        <v>250</v>
      </c>
      <c r="C177" t="s">
        <v>16</v>
      </c>
      <c r="D177" t="s">
        <v>35</v>
      </c>
      <c r="E177" t="s">
        <v>11</v>
      </c>
      <c r="F177" s="1" t="d">
        <v>2019-07-02</v>
      </c>
      <c r="G177" s="1" t="d">
        <v>2021-04-19</v>
      </c>
      <c r="H177" t="str">
        <f>VLOOKUP(D177,Table2[],3,FALSE)</f>
        <v>ECR</v>
      </c>
    </row>
    <row r="178" spans="1:8" x14ac:dyDescent="0.2">
      <c r="A178">
        <v>96653</v>
      </c>
      <c r="B178" t="s">
        <v>251</v>
      </c>
      <c r="C178" t="s">
        <v>42</v>
      </c>
      <c r="D178" t="s">
        <v>104</v>
      </c>
      <c r="E178" t="s">
        <v>11</v>
      </c>
      <c r="F178" s="1" t="d">
        <v>2024-07-16</v>
      </c>
      <c r="H178" t="str">
        <f>VLOOKUP(D178,Table2[],3,FALSE)</f>
        <v>Non-attached</v>
      </c>
    </row>
    <row r="179" spans="1:8" x14ac:dyDescent="0.2">
      <c r="A179">
        <v>1892</v>
      </c>
      <c r="B179" t="s">
        <v>252</v>
      </c>
      <c r="C179" t="s">
        <v>71</v>
      </c>
      <c r="D179" t="s">
        <v>253</v>
      </c>
      <c r="E179" t="s">
        <v>11</v>
      </c>
      <c r="F179" s="1" t="d">
        <v>1994-01-11</v>
      </c>
      <c r="G179" s="1" t="d">
        <v>1994-07-18</v>
      </c>
      <c r="H179" t="str">
        <f>VLOOKUP(D179,Table2[],3,FALSE)</f>
        <v>EPP</v>
      </c>
    </row>
    <row r="180" spans="1:8" x14ac:dyDescent="0.2">
      <c r="A180">
        <v>197728</v>
      </c>
      <c r="B180" t="s">
        <v>254</v>
      </c>
      <c r="C180" t="s">
        <v>13</v>
      </c>
      <c r="D180" t="s">
        <v>79</v>
      </c>
      <c r="E180" t="s">
        <v>11</v>
      </c>
      <c r="F180" s="1" t="d">
        <v>2019-07-02</v>
      </c>
      <c r="G180" s="1" t="d">
        <v>2024-07-15</v>
      </c>
      <c r="H180" t="str">
        <f>VLOOKUP(D180,Table2[],3,FALSE)</f>
        <v>S&amp;D</v>
      </c>
    </row>
    <row r="181" spans="1:8" x14ac:dyDescent="0.2">
      <c r="A181">
        <v>197483</v>
      </c>
      <c r="B181" t="s">
        <v>255</v>
      </c>
      <c r="C181" t="s">
        <v>20</v>
      </c>
      <c r="D181" t="s">
        <v>90</v>
      </c>
      <c r="E181" t="s">
        <v>11</v>
      </c>
      <c r="F181" s="1" t="d">
        <v>2024-05-23</v>
      </c>
      <c r="G181" s="1" t="d">
        <v>2024-07-15</v>
      </c>
      <c r="H181" t="str">
        <f>VLOOKUP(D181,Table2[],3,FALSE)</f>
        <v>EPP</v>
      </c>
    </row>
    <row r="182" spans="1:8" x14ac:dyDescent="0.2">
      <c r="A182">
        <v>197552</v>
      </c>
      <c r="B182" t="s">
        <v>256</v>
      </c>
      <c r="C182" t="s">
        <v>101</v>
      </c>
      <c r="D182" t="s">
        <v>35</v>
      </c>
      <c r="E182" t="s">
        <v>18</v>
      </c>
      <c r="F182" s="1" t="d">
        <v>2020-03-10</v>
      </c>
      <c r="G182" s="1" t="d">
        <v>2022-04-04</v>
      </c>
      <c r="H182" t="str">
        <f>VLOOKUP(D182,Table2[],3,FALSE)</f>
        <v>ECR</v>
      </c>
    </row>
    <row r="183" spans="1:8" x14ac:dyDescent="0.2">
      <c r="A183">
        <v>4267</v>
      </c>
      <c r="B183" t="s">
        <v>257</v>
      </c>
      <c r="C183" t="s">
        <v>20</v>
      </c>
      <c r="D183" t="s">
        <v>14</v>
      </c>
      <c r="E183" t="s">
        <v>11</v>
      </c>
      <c r="F183" s="1" t="d">
        <v>2004-07-20</v>
      </c>
      <c r="G183" s="1" t="d">
        <v>2009-07-13</v>
      </c>
      <c r="H183" t="str">
        <f>VLOOKUP(D183,Table2[],3,FALSE)</f>
        <v>S&amp;D</v>
      </c>
    </row>
    <row r="184" spans="1:8" x14ac:dyDescent="0.2">
      <c r="A184">
        <v>197400</v>
      </c>
      <c r="B184" t="s">
        <v>258</v>
      </c>
      <c r="C184" t="s">
        <v>50</v>
      </c>
      <c r="D184" t="s">
        <v>66</v>
      </c>
      <c r="E184" t="s">
        <v>11</v>
      </c>
      <c r="F184" s="1" t="d">
        <v>2019-07-02</v>
      </c>
      <c r="G184" s="1" t="d">
        <v>2024-07-15</v>
      </c>
      <c r="H184" t="str">
        <f>VLOOKUP(D184,Table2[],3,FALSE)</f>
        <v>Renew Europe</v>
      </c>
    </row>
    <row r="185" spans="1:8" x14ac:dyDescent="0.2">
      <c r="A185">
        <v>28161</v>
      </c>
      <c r="B185" t="s">
        <v>259</v>
      </c>
      <c r="C185" t="s">
        <v>61</v>
      </c>
      <c r="D185" t="s">
        <v>260</v>
      </c>
      <c r="E185" t="s">
        <v>11</v>
      </c>
      <c r="F185" s="1" t="d">
        <v>2009-07-14</v>
      </c>
      <c r="G185" s="1" t="d">
        <v>2014-06-30</v>
      </c>
      <c r="H185" t="str">
        <f>VLOOKUP(D185,Table2[],3,FALSE)</f>
        <v>Greens/EFA</v>
      </c>
    </row>
    <row r="186" spans="1:8" x14ac:dyDescent="0.2">
      <c r="A186">
        <v>197542</v>
      </c>
      <c r="B186" t="s">
        <v>261</v>
      </c>
      <c r="C186" t="s">
        <v>68</v>
      </c>
      <c r="D186" t="s">
        <v>10</v>
      </c>
      <c r="E186" t="s">
        <v>11</v>
      </c>
      <c r="F186" s="1" t="d">
        <v>2019-07-02</v>
      </c>
      <c r="G186" s="1" t="d">
        <v>2024-07-15</v>
      </c>
      <c r="H186" t="str">
        <f>VLOOKUP(D186,Table2[],3,FALSE)</f>
        <v>EPP</v>
      </c>
    </row>
    <row r="187" spans="1:8" x14ac:dyDescent="0.2">
      <c r="A187">
        <v>197650</v>
      </c>
      <c r="B187" t="s">
        <v>262</v>
      </c>
      <c r="C187" t="s">
        <v>71</v>
      </c>
      <c r="D187" t="s">
        <v>79</v>
      </c>
      <c r="E187" t="s">
        <v>11</v>
      </c>
      <c r="F187" s="1" t="d">
        <v>2019-07-02</v>
      </c>
      <c r="G187" s="1" t="d">
        <v>2024-07-15</v>
      </c>
      <c r="H187" t="str">
        <f>VLOOKUP(D187,Table2[],3,FALSE)</f>
        <v>S&amp;D</v>
      </c>
    </row>
    <row r="188" spans="1:8" x14ac:dyDescent="0.2">
      <c r="A188">
        <v>197868</v>
      </c>
      <c r="B188" t="s">
        <v>263</v>
      </c>
      <c r="C188" t="s">
        <v>16</v>
      </c>
      <c r="D188" t="s">
        <v>66</v>
      </c>
      <c r="E188" t="s">
        <v>11</v>
      </c>
      <c r="F188" s="1" t="d">
        <v>2019-07-02</v>
      </c>
      <c r="G188" s="1" t="d">
        <v>2024-07-15</v>
      </c>
      <c r="H188" t="str">
        <f>VLOOKUP(D188,Table2[],3,FALSE)</f>
        <v>Renew Europe</v>
      </c>
    </row>
    <row r="189" spans="1:8" x14ac:dyDescent="0.2">
      <c r="A189">
        <v>124867</v>
      </c>
      <c r="B189" t="s">
        <v>264</v>
      </c>
      <c r="C189" t="s">
        <v>54</v>
      </c>
      <c r="D189" t="s">
        <v>75</v>
      </c>
      <c r="E189" t="s">
        <v>11</v>
      </c>
      <c r="F189" s="1" t="d">
        <v>2014-07-01</v>
      </c>
      <c r="G189" s="1" t="d">
        <v>2019-07-01</v>
      </c>
      <c r="H189" t="str">
        <f>VLOOKUP(D189,Table2[],3,FALSE)</f>
        <v>S&amp;D</v>
      </c>
    </row>
    <row r="190" spans="1:8" x14ac:dyDescent="0.2">
      <c r="A190">
        <v>183338</v>
      </c>
      <c r="B190" t="s">
        <v>265</v>
      </c>
      <c r="C190" t="s">
        <v>50</v>
      </c>
      <c r="D190" t="s">
        <v>21</v>
      </c>
      <c r="E190" t="s">
        <v>11</v>
      </c>
      <c r="F190" s="1" t="d">
        <v>2016-06-07</v>
      </c>
      <c r="G190" s="1" t="d">
        <v>2019-07-01</v>
      </c>
      <c r="H190" t="str">
        <f>VLOOKUP(D190,Table2[],3,FALSE)</f>
        <v>Greens/EFA</v>
      </c>
    </row>
    <row r="191" spans="1:8" x14ac:dyDescent="0.2">
      <c r="A191">
        <v>197654</v>
      </c>
      <c r="B191" t="s">
        <v>266</v>
      </c>
      <c r="C191" t="s">
        <v>64</v>
      </c>
      <c r="D191" t="s">
        <v>28</v>
      </c>
      <c r="E191" t="s">
        <v>11</v>
      </c>
      <c r="F191" s="1" t="d">
        <v>2019-07-02</v>
      </c>
      <c r="G191" s="1" t="d">
        <v>2024-07-15</v>
      </c>
      <c r="H191" t="str">
        <f>VLOOKUP(D191,Table2[],3,FALSE)</f>
        <v>Greens/EFA</v>
      </c>
    </row>
    <row r="192" spans="1:8" x14ac:dyDescent="0.2">
      <c r="A192">
        <v>197460</v>
      </c>
      <c r="B192" t="s">
        <v>267</v>
      </c>
      <c r="C192" t="s">
        <v>20</v>
      </c>
      <c r="D192" t="s">
        <v>51</v>
      </c>
      <c r="E192" t="s">
        <v>18</v>
      </c>
      <c r="F192" s="1" t="d">
        <v>2024-07-16</v>
      </c>
      <c r="G192" s="1" t="d">
        <v>2024-11-12</v>
      </c>
      <c r="H192" t="str">
        <f>VLOOKUP(D192,Table2[],3,FALSE)</f>
        <v>Greens/EFA</v>
      </c>
    </row>
    <row r="193" spans="1:8" x14ac:dyDescent="0.2">
      <c r="A193">
        <v>197417</v>
      </c>
      <c r="B193" t="s">
        <v>268</v>
      </c>
      <c r="C193" t="s">
        <v>155</v>
      </c>
      <c r="D193" t="s">
        <v>30</v>
      </c>
      <c r="E193" t="s">
        <v>11</v>
      </c>
      <c r="F193" s="1" t="d">
        <v>2024-07-16</v>
      </c>
      <c r="H193" t="str">
        <f>VLOOKUP(D193,Table2[],3,FALSE)</f>
        <v>EPP</v>
      </c>
    </row>
    <row r="194" spans="1:8" x14ac:dyDescent="0.2">
      <c r="A194">
        <v>124936</v>
      </c>
      <c r="B194" t="s">
        <v>269</v>
      </c>
      <c r="C194" t="s">
        <v>88</v>
      </c>
      <c r="D194" t="s">
        <v>79</v>
      </c>
      <c r="E194" t="s">
        <v>11</v>
      </c>
      <c r="F194" s="1" t="d">
        <v>2019-07-02</v>
      </c>
      <c r="G194" s="1" t="d">
        <v>2024-07-15</v>
      </c>
      <c r="H194" t="str">
        <f>VLOOKUP(D194,Table2[],3,FALSE)</f>
        <v>S&amp;D</v>
      </c>
    </row>
    <row r="195" spans="1:8" x14ac:dyDescent="0.2">
      <c r="A195">
        <v>124861</v>
      </c>
      <c r="B195" t="s">
        <v>270</v>
      </c>
      <c r="C195" t="s">
        <v>54</v>
      </c>
      <c r="D195" t="s">
        <v>75</v>
      </c>
      <c r="E195" t="s">
        <v>11</v>
      </c>
      <c r="F195" s="1" t="d">
        <v>2014-07-01</v>
      </c>
      <c r="G195" s="1" t="d">
        <v>2019-07-01</v>
      </c>
      <c r="H195" t="str">
        <f>VLOOKUP(D195,Table2[],3,FALSE)</f>
        <v>S&amp;D</v>
      </c>
    </row>
    <row r="196" spans="1:8" x14ac:dyDescent="0.2">
      <c r="A196">
        <v>197589</v>
      </c>
      <c r="B196" t="s">
        <v>271</v>
      </c>
      <c r="C196" t="s">
        <v>23</v>
      </c>
      <c r="D196" t="s">
        <v>66</v>
      </c>
      <c r="E196" t="s">
        <v>11</v>
      </c>
      <c r="F196" s="1" t="d">
        <v>2019-07-02</v>
      </c>
      <c r="G196" s="1" t="d">
        <v>2024-07-15</v>
      </c>
      <c r="H196" t="str">
        <f>VLOOKUP(D196,Table2[],3,FALSE)</f>
        <v>Renew Europe</v>
      </c>
    </row>
    <row r="197" spans="1:8" x14ac:dyDescent="0.2">
      <c r="A197">
        <v>28619</v>
      </c>
      <c r="B197" t="s">
        <v>272</v>
      </c>
      <c r="C197" t="s">
        <v>223</v>
      </c>
      <c r="D197" t="s">
        <v>28</v>
      </c>
      <c r="E197" t="s">
        <v>11</v>
      </c>
      <c r="F197" s="1" t="d">
        <v>2019-07-02</v>
      </c>
      <c r="G197" s="1" t="d">
        <v>2022-03-31</v>
      </c>
      <c r="H197" t="str">
        <f>VLOOKUP(D197,Table2[],3,FALSE)</f>
        <v>Greens/EFA</v>
      </c>
    </row>
    <row r="198" spans="1:8" x14ac:dyDescent="0.2">
      <c r="A198">
        <v>197444</v>
      </c>
      <c r="B198" t="s">
        <v>273</v>
      </c>
      <c r="C198" t="s">
        <v>20</v>
      </c>
      <c r="D198" t="s">
        <v>66</v>
      </c>
      <c r="E198" t="s">
        <v>11</v>
      </c>
      <c r="F198" s="1" t="d">
        <v>2019-07-02</v>
      </c>
      <c r="G198" s="1" t="d">
        <v>2024-07-15</v>
      </c>
      <c r="H198" t="str">
        <f>VLOOKUP(D198,Table2[],3,FALSE)</f>
        <v>Renew Europe</v>
      </c>
    </row>
    <row r="199" spans="1:8" x14ac:dyDescent="0.2">
      <c r="A199">
        <v>197722</v>
      </c>
      <c r="B199" t="s">
        <v>274</v>
      </c>
      <c r="C199" t="s">
        <v>13</v>
      </c>
      <c r="D199" t="s">
        <v>48</v>
      </c>
      <c r="E199" t="s">
        <v>11</v>
      </c>
      <c r="F199" s="1" t="d">
        <v>2024-07-16</v>
      </c>
      <c r="H199" t="str">
        <f>VLOOKUP(D199,Table2[],3,FALSE)</f>
        <v>S&amp;D</v>
      </c>
    </row>
    <row r="200" spans="1:8" x14ac:dyDescent="0.2">
      <c r="A200">
        <v>237779</v>
      </c>
      <c r="B200" t="s">
        <v>275</v>
      </c>
      <c r="C200" t="s">
        <v>50</v>
      </c>
      <c r="D200" t="s">
        <v>79</v>
      </c>
      <c r="E200" t="s">
        <v>11</v>
      </c>
      <c r="F200" s="1" t="d">
        <v>2022-09-26</v>
      </c>
      <c r="G200" s="1" t="d">
        <v>2024-07-15</v>
      </c>
      <c r="H200" t="str">
        <f>VLOOKUP(D200,Table2[],3,FALSE)</f>
        <v>S&amp;D</v>
      </c>
    </row>
    <row r="201" spans="1:8" x14ac:dyDescent="0.2">
      <c r="A201">
        <v>197841</v>
      </c>
      <c r="B201" t="s">
        <v>276</v>
      </c>
      <c r="C201" t="s">
        <v>161</v>
      </c>
      <c r="D201" t="s">
        <v>10</v>
      </c>
      <c r="E201" t="s">
        <v>11</v>
      </c>
      <c r="F201" s="1" t="d">
        <v>2019-07-02</v>
      </c>
      <c r="G201" s="1" t="d">
        <v>2024-07-15</v>
      </c>
      <c r="H201" t="str">
        <f>VLOOKUP(D201,Table2[],3,FALSE)</f>
        <v>EPP</v>
      </c>
    </row>
    <row r="202" spans="1:8" x14ac:dyDescent="0.2">
      <c r="A202">
        <v>124700</v>
      </c>
      <c r="B202" t="s">
        <v>277</v>
      </c>
      <c r="C202" t="s">
        <v>163</v>
      </c>
      <c r="D202" t="s">
        <v>66</v>
      </c>
      <c r="E202" t="s">
        <v>11</v>
      </c>
      <c r="F202" s="1" t="d">
        <v>2019-07-02</v>
      </c>
      <c r="G202" s="1" t="d">
        <v>2024-07-15</v>
      </c>
      <c r="H202" t="str">
        <f>VLOOKUP(D202,Table2[],3,FALSE)</f>
        <v>Renew Europe</v>
      </c>
    </row>
    <row r="203" spans="1:8" x14ac:dyDescent="0.2">
      <c r="A203">
        <v>134605</v>
      </c>
      <c r="B203" t="s">
        <v>278</v>
      </c>
      <c r="C203" t="s">
        <v>83</v>
      </c>
      <c r="D203" t="s">
        <v>66</v>
      </c>
      <c r="E203" t="s">
        <v>11</v>
      </c>
      <c r="F203" s="1" t="d">
        <v>2019-07-02</v>
      </c>
      <c r="G203" s="1" t="d">
        <v>2024-07-15</v>
      </c>
      <c r="H203" t="str">
        <f>VLOOKUP(D203,Table2[],3,FALSE)</f>
        <v>Renew Europe</v>
      </c>
    </row>
    <row r="204" spans="1:8" x14ac:dyDescent="0.2">
      <c r="A204">
        <v>198490</v>
      </c>
      <c r="B204" t="s">
        <v>279</v>
      </c>
      <c r="C204" t="s">
        <v>106</v>
      </c>
      <c r="D204" t="s">
        <v>35</v>
      </c>
      <c r="E204" t="s">
        <v>18</v>
      </c>
      <c r="F204" s="1" t="d">
        <v>2019-07-10</v>
      </c>
      <c r="G204" s="1" t="d">
        <v>2024-07-15</v>
      </c>
      <c r="H204" t="str">
        <f>VLOOKUP(D204,Table2[],3,FALSE)</f>
        <v>ECR</v>
      </c>
    </row>
    <row r="205" spans="1:8" x14ac:dyDescent="0.2">
      <c r="A205">
        <v>125706</v>
      </c>
      <c r="B205" t="s">
        <v>280</v>
      </c>
      <c r="C205" t="s">
        <v>101</v>
      </c>
      <c r="D205" t="s">
        <v>107</v>
      </c>
      <c r="E205" t="s">
        <v>11</v>
      </c>
      <c r="F205" s="1" t="d">
        <v>2014-07-01</v>
      </c>
      <c r="G205" s="1" t="d">
        <v>2019-07-01</v>
      </c>
      <c r="H205" t="str">
        <f>VLOOKUP(D205,Table2[],3,FALSE)</f>
        <v>EPP</v>
      </c>
    </row>
    <row r="206" spans="1:8" x14ac:dyDescent="0.2">
      <c r="A206">
        <v>96772</v>
      </c>
      <c r="B206" t="s">
        <v>281</v>
      </c>
      <c r="C206" t="s">
        <v>20</v>
      </c>
      <c r="D206" t="s">
        <v>10</v>
      </c>
      <c r="E206" t="s">
        <v>11</v>
      </c>
      <c r="F206" s="1" t="d">
        <v>2019-07-02</v>
      </c>
      <c r="G206" s="1" t="d">
        <v>2024-07-15</v>
      </c>
      <c r="H206" t="str">
        <f>VLOOKUP(D206,Table2[],3,FALSE)</f>
        <v>EPP</v>
      </c>
    </row>
    <row r="207" spans="1:8" x14ac:dyDescent="0.2">
      <c r="A207">
        <v>96646</v>
      </c>
      <c r="B207" t="s">
        <v>282</v>
      </c>
      <c r="C207" t="s">
        <v>20</v>
      </c>
      <c r="D207" t="s">
        <v>38</v>
      </c>
      <c r="E207" t="s">
        <v>11</v>
      </c>
      <c r="F207" s="1" t="d">
        <v>2019-07-02</v>
      </c>
      <c r="G207" s="1" t="d">
        <v>2020-12-17</v>
      </c>
      <c r="H207" t="str">
        <f>VLOOKUP(D207,Table2[],3,FALSE)</f>
        <v>The Left</v>
      </c>
    </row>
    <row r="208" spans="1:8" x14ac:dyDescent="0.2">
      <c r="A208">
        <v>96903</v>
      </c>
      <c r="B208" t="s">
        <v>283</v>
      </c>
      <c r="C208" t="s">
        <v>71</v>
      </c>
      <c r="D208" t="s">
        <v>107</v>
      </c>
      <c r="E208" t="s">
        <v>31</v>
      </c>
      <c r="F208" s="1" t="d">
        <v>2014-07-01</v>
      </c>
      <c r="G208" s="1" t="d">
        <v>2019-07-01</v>
      </c>
      <c r="H208" t="str">
        <f>VLOOKUP(D208,Table2[],3,FALSE)</f>
        <v>EPP</v>
      </c>
    </row>
    <row r="209" spans="1:8" x14ac:dyDescent="0.2">
      <c r="A209">
        <v>124828</v>
      </c>
      <c r="B209" t="s">
        <v>284</v>
      </c>
      <c r="C209" t="s">
        <v>54</v>
      </c>
      <c r="D209" t="s">
        <v>30</v>
      </c>
      <c r="E209" t="s">
        <v>11</v>
      </c>
      <c r="F209" s="1" t="d">
        <v>2024-07-16</v>
      </c>
      <c r="H209" t="str">
        <f>VLOOKUP(D209,Table2[],3,FALSE)</f>
        <v>EPP</v>
      </c>
    </row>
    <row r="210" spans="1:8" x14ac:dyDescent="0.2">
      <c r="A210">
        <v>124835</v>
      </c>
      <c r="B210" t="s">
        <v>285</v>
      </c>
      <c r="C210" t="s">
        <v>54</v>
      </c>
      <c r="D210" t="s">
        <v>28</v>
      </c>
      <c r="E210" t="s">
        <v>11</v>
      </c>
      <c r="F210" s="1" t="d">
        <v>2020-12-09</v>
      </c>
      <c r="G210" s="1" t="d">
        <v>2024-07-15</v>
      </c>
      <c r="H210" t="str">
        <f>VLOOKUP(D210,Table2[],3,FALSE)</f>
        <v>Greens/EFA</v>
      </c>
    </row>
    <row r="211" spans="1:8" x14ac:dyDescent="0.2">
      <c r="A211">
        <v>124777</v>
      </c>
      <c r="B211" t="s">
        <v>286</v>
      </c>
      <c r="C211" t="s">
        <v>54</v>
      </c>
      <c r="D211" t="s">
        <v>287</v>
      </c>
      <c r="E211" t="s">
        <v>11</v>
      </c>
      <c r="F211" s="1" t="d">
        <v>2014-07-01</v>
      </c>
      <c r="G211" s="1" t="d">
        <v>2014-10-15</v>
      </c>
      <c r="H211" t="str">
        <f>VLOOKUP(D211,Table2[],3,FALSE)</f>
        <v>Non-attached</v>
      </c>
    </row>
    <row r="212" spans="1:8" x14ac:dyDescent="0.2">
      <c r="A212">
        <v>183916</v>
      </c>
      <c r="B212" t="s">
        <v>288</v>
      </c>
      <c r="C212" t="s">
        <v>20</v>
      </c>
      <c r="D212" t="s">
        <v>28</v>
      </c>
      <c r="E212" t="s">
        <v>11</v>
      </c>
      <c r="F212" s="1" t="d">
        <v>2019-07-02</v>
      </c>
      <c r="G212" s="1" t="d">
        <v>2022-11-09</v>
      </c>
      <c r="H212" t="str">
        <f>VLOOKUP(D212,Table2[],3,FALSE)</f>
        <v>Greens/EFA</v>
      </c>
    </row>
    <row r="213" spans="1:8" x14ac:dyDescent="0.2">
      <c r="A213">
        <v>230085</v>
      </c>
      <c r="B213" t="s">
        <v>289</v>
      </c>
      <c r="C213" t="s">
        <v>54</v>
      </c>
      <c r="D213" t="s">
        <v>48</v>
      </c>
      <c r="E213" t="s">
        <v>31</v>
      </c>
      <c r="F213" s="1" t="d">
        <v>2024-07-16</v>
      </c>
      <c r="H213" t="str">
        <f>VLOOKUP(D213,Table2[],3,FALSE)</f>
        <v>S&amp;D</v>
      </c>
    </row>
    <row r="214" spans="1:8" x14ac:dyDescent="0.2">
      <c r="A214">
        <v>197702</v>
      </c>
      <c r="B214" t="s">
        <v>290</v>
      </c>
      <c r="C214" t="s">
        <v>13</v>
      </c>
      <c r="D214" t="s">
        <v>79</v>
      </c>
      <c r="E214" t="s">
        <v>11</v>
      </c>
      <c r="F214" s="1" t="d">
        <v>2019-07-02</v>
      </c>
      <c r="G214" s="1" t="d">
        <v>2024-07-15</v>
      </c>
      <c r="H214" t="str">
        <f>VLOOKUP(D214,Table2[],3,FALSE)</f>
        <v>S&amp;D</v>
      </c>
    </row>
    <row r="215" spans="1:8" x14ac:dyDescent="0.2">
      <c r="A215">
        <v>96668</v>
      </c>
      <c r="B215" t="s">
        <v>291</v>
      </c>
      <c r="C215" t="s">
        <v>64</v>
      </c>
      <c r="D215" t="s">
        <v>33</v>
      </c>
      <c r="E215" t="s">
        <v>11</v>
      </c>
      <c r="F215" s="1" t="d">
        <v>2009-07-14</v>
      </c>
      <c r="G215" s="1" t="d">
        <v>2014-06-30</v>
      </c>
      <c r="H215" t="str">
        <f>VLOOKUP(D215,Table2[],3,FALSE)</f>
        <v>EPP</v>
      </c>
    </row>
    <row r="216" spans="1:8" x14ac:dyDescent="0.2">
      <c r="A216">
        <v>131507</v>
      </c>
      <c r="B216" t="s">
        <v>292</v>
      </c>
      <c r="C216" t="s">
        <v>13</v>
      </c>
      <c r="D216" t="s">
        <v>57</v>
      </c>
      <c r="E216" t="s">
        <v>11</v>
      </c>
      <c r="F216" s="1" t="d">
        <v>2015-03-05</v>
      </c>
      <c r="G216" s="1" t="d">
        <v>2017-05-09</v>
      </c>
      <c r="H216" t="str">
        <f>VLOOKUP(D216,Table2[],3,FALSE)</f>
        <v>The Left</v>
      </c>
    </row>
    <row r="217" spans="1:8" x14ac:dyDescent="0.2">
      <c r="A217">
        <v>197405</v>
      </c>
      <c r="B217" t="s">
        <v>293</v>
      </c>
      <c r="C217" t="s">
        <v>50</v>
      </c>
      <c r="D217" t="s">
        <v>10</v>
      </c>
      <c r="E217" t="s">
        <v>11</v>
      </c>
      <c r="F217" s="1" t="d">
        <v>2019-07-02</v>
      </c>
      <c r="G217" s="1" t="d">
        <v>2024-07-15</v>
      </c>
      <c r="H217" t="str">
        <f>VLOOKUP(D217,Table2[],3,FALSE)</f>
        <v>EPP</v>
      </c>
    </row>
    <row r="218" spans="1:8" x14ac:dyDescent="0.2">
      <c r="A218">
        <v>197458</v>
      </c>
      <c r="B218" t="s">
        <v>294</v>
      </c>
      <c r="C218" t="s">
        <v>88</v>
      </c>
      <c r="D218" t="s">
        <v>10</v>
      </c>
      <c r="E218" t="s">
        <v>11</v>
      </c>
      <c r="F218" s="1" t="d">
        <v>2019-07-02</v>
      </c>
      <c r="G218" s="1" t="d">
        <v>2024-07-15</v>
      </c>
      <c r="H218" t="str">
        <f>VLOOKUP(D218,Table2[],3,FALSE)</f>
        <v>EPP</v>
      </c>
    </row>
    <row r="219" spans="1:8" x14ac:dyDescent="0.2">
      <c r="A219">
        <v>130100</v>
      </c>
      <c r="B219" t="s">
        <v>295</v>
      </c>
      <c r="C219" t="s">
        <v>88</v>
      </c>
      <c r="D219" t="s">
        <v>17</v>
      </c>
      <c r="E219" t="s">
        <v>18</v>
      </c>
      <c r="F219" s="1" t="d">
        <v>2024-07-16</v>
      </c>
      <c r="H219" t="str">
        <f>VLOOKUP(D219,Table2[],3,FALSE)</f>
        <v>Renew Europe</v>
      </c>
    </row>
    <row r="220" spans="1:8" x14ac:dyDescent="0.2">
      <c r="A220">
        <v>124973</v>
      </c>
      <c r="B220" t="s">
        <v>296</v>
      </c>
      <c r="C220" t="s">
        <v>88</v>
      </c>
      <c r="D220" t="s">
        <v>40</v>
      </c>
      <c r="E220" t="s">
        <v>102</v>
      </c>
      <c r="F220" s="1" t="d">
        <v>2024-07-16</v>
      </c>
      <c r="H220" t="str">
        <f>VLOOKUP(D220,Table2[],3,FALSE)</f>
        <v>PfE</v>
      </c>
    </row>
    <row r="221" spans="1:8" x14ac:dyDescent="0.2">
      <c r="A221">
        <v>124760</v>
      </c>
      <c r="B221" t="s">
        <v>297</v>
      </c>
      <c r="C221" t="s">
        <v>23</v>
      </c>
      <c r="D221" t="s">
        <v>117</v>
      </c>
      <c r="E221" t="s">
        <v>31</v>
      </c>
      <c r="F221" s="1" t="d">
        <v>2024-11-26</v>
      </c>
      <c r="H221" t="str">
        <f>VLOOKUP(D221,Table2[],3,FALSE)</f>
        <v>ECR</v>
      </c>
    </row>
    <row r="222" spans="1:8" x14ac:dyDescent="0.2">
      <c r="A222">
        <v>124784</v>
      </c>
      <c r="B222" t="s">
        <v>298</v>
      </c>
      <c r="C222" t="s">
        <v>83</v>
      </c>
      <c r="D222" t="s">
        <v>79</v>
      </c>
      <c r="E222" t="s">
        <v>11</v>
      </c>
      <c r="F222" s="1" t="d">
        <v>2019-07-02</v>
      </c>
      <c r="G222" s="1" t="d">
        <v>2024-07-15</v>
      </c>
      <c r="H222" t="str">
        <f>VLOOKUP(D222,Table2[],3,FALSE)</f>
        <v>S&amp;D</v>
      </c>
    </row>
    <row r="223" spans="1:8" x14ac:dyDescent="0.2">
      <c r="A223">
        <v>197638</v>
      </c>
      <c r="B223" t="s">
        <v>299</v>
      </c>
      <c r="C223" t="s">
        <v>71</v>
      </c>
      <c r="D223" t="s">
        <v>79</v>
      </c>
      <c r="E223" t="s">
        <v>11</v>
      </c>
      <c r="F223" s="1" t="d">
        <v>2019-07-02</v>
      </c>
      <c r="G223" s="1" t="d">
        <v>2024-07-15</v>
      </c>
      <c r="H223" t="str">
        <f>VLOOKUP(D223,Table2[],3,FALSE)</f>
        <v>S&amp;D</v>
      </c>
    </row>
    <row r="224" spans="1:8" x14ac:dyDescent="0.2">
      <c r="A224">
        <v>124766</v>
      </c>
      <c r="B224" t="s">
        <v>300</v>
      </c>
      <c r="C224" t="s">
        <v>161</v>
      </c>
      <c r="D224" t="s">
        <v>66</v>
      </c>
      <c r="E224" t="s">
        <v>11</v>
      </c>
      <c r="F224" s="1" t="d">
        <v>2019-07-02</v>
      </c>
      <c r="G224" s="1" t="d">
        <v>2024-07-15</v>
      </c>
      <c r="H224" t="str">
        <f>VLOOKUP(D224,Table2[],3,FALSE)</f>
        <v>Renew Europe</v>
      </c>
    </row>
    <row r="225" spans="1:8" x14ac:dyDescent="0.2">
      <c r="A225">
        <v>197451</v>
      </c>
      <c r="B225" t="s">
        <v>301</v>
      </c>
      <c r="C225" t="s">
        <v>20</v>
      </c>
      <c r="D225" t="s">
        <v>28</v>
      </c>
      <c r="E225" t="s">
        <v>11</v>
      </c>
      <c r="F225" s="1" t="d">
        <v>2019-07-02</v>
      </c>
      <c r="G225" s="1" t="d">
        <v>2024-07-15</v>
      </c>
      <c r="H225" t="str">
        <f>VLOOKUP(D225,Table2[],3,FALSE)</f>
        <v>Greens/EFA</v>
      </c>
    </row>
    <row r="226" spans="1:8" x14ac:dyDescent="0.2">
      <c r="A226">
        <v>112744</v>
      </c>
      <c r="B226" t="s">
        <v>302</v>
      </c>
      <c r="C226" t="s">
        <v>155</v>
      </c>
      <c r="D226" t="s">
        <v>79</v>
      </c>
      <c r="E226" t="s">
        <v>11</v>
      </c>
      <c r="F226" s="1" t="d">
        <v>2019-07-02</v>
      </c>
      <c r="G226" s="1" t="d">
        <v>2024-07-15</v>
      </c>
      <c r="H226" t="str">
        <f>VLOOKUP(D226,Table2[],3,FALSE)</f>
        <v>S&amp;D</v>
      </c>
    </row>
    <row r="227" spans="1:8" x14ac:dyDescent="0.2">
      <c r="A227">
        <v>197802</v>
      </c>
      <c r="B227" t="s">
        <v>303</v>
      </c>
      <c r="C227" t="s">
        <v>37</v>
      </c>
      <c r="D227" t="s">
        <v>28</v>
      </c>
      <c r="E227" t="s">
        <v>11</v>
      </c>
      <c r="F227" s="1" t="d">
        <v>2019-07-02</v>
      </c>
      <c r="G227" s="1" t="d">
        <v>2024-07-15</v>
      </c>
      <c r="H227" t="str">
        <f>VLOOKUP(D227,Table2[],3,FALSE)</f>
        <v>Greens/EFA</v>
      </c>
    </row>
    <row r="228" spans="1:8" x14ac:dyDescent="0.2">
      <c r="A228">
        <v>197507</v>
      </c>
      <c r="B228" t="s">
        <v>304</v>
      </c>
      <c r="C228" t="s">
        <v>68</v>
      </c>
      <c r="D228" t="s">
        <v>79</v>
      </c>
      <c r="E228" t="s">
        <v>11</v>
      </c>
      <c r="F228" s="1" t="d">
        <v>2019-07-02</v>
      </c>
      <c r="G228" s="1" t="d">
        <v>2024-07-15</v>
      </c>
      <c r="H228" t="str">
        <f>VLOOKUP(D228,Table2[],3,FALSE)</f>
        <v>S&amp;D</v>
      </c>
    </row>
    <row r="229" spans="1:8" x14ac:dyDescent="0.2">
      <c r="A229">
        <v>204449</v>
      </c>
      <c r="B229" t="s">
        <v>305</v>
      </c>
      <c r="C229" t="s">
        <v>163</v>
      </c>
      <c r="D229" t="s">
        <v>10</v>
      </c>
      <c r="E229" t="s">
        <v>11</v>
      </c>
      <c r="F229" s="1" t="d">
        <v>2020-02-01</v>
      </c>
      <c r="G229" s="1" t="d">
        <v>2024-07-15</v>
      </c>
      <c r="H229" t="str">
        <f>VLOOKUP(D229,Table2[],3,FALSE)</f>
        <v>EPP</v>
      </c>
    </row>
    <row r="230" spans="1:8" x14ac:dyDescent="0.2">
      <c r="A230">
        <v>197838</v>
      </c>
      <c r="B230" t="s">
        <v>306</v>
      </c>
      <c r="C230" t="s">
        <v>161</v>
      </c>
      <c r="D230" t="s">
        <v>79</v>
      </c>
      <c r="E230" t="s">
        <v>11</v>
      </c>
      <c r="F230" s="1" t="d">
        <v>2019-07-02</v>
      </c>
      <c r="G230" s="1" t="d">
        <v>2024-07-15</v>
      </c>
      <c r="H230" t="str">
        <f>VLOOKUP(D230,Table2[],3,FALSE)</f>
        <v>S&amp;D</v>
      </c>
    </row>
    <row r="231" spans="1:8" x14ac:dyDescent="0.2">
      <c r="A231">
        <v>27714</v>
      </c>
      <c r="B231" t="s">
        <v>307</v>
      </c>
      <c r="C231" t="s">
        <v>73</v>
      </c>
      <c r="D231" t="s">
        <v>90</v>
      </c>
      <c r="E231" t="s">
        <v>11</v>
      </c>
      <c r="F231" s="1" t="d">
        <v>2021-03-05</v>
      </c>
      <c r="G231" s="1" t="d">
        <v>2024-07-15</v>
      </c>
      <c r="H231" t="str">
        <f>VLOOKUP(D231,Table2[],3,FALSE)</f>
        <v>EPP</v>
      </c>
    </row>
    <row r="232" spans="1:8" x14ac:dyDescent="0.2">
      <c r="A232">
        <v>126644</v>
      </c>
      <c r="B232" t="s">
        <v>308</v>
      </c>
      <c r="C232" t="s">
        <v>13</v>
      </c>
      <c r="D232" t="s">
        <v>66</v>
      </c>
      <c r="E232" t="s">
        <v>31</v>
      </c>
      <c r="F232" s="1" t="d">
        <v>2022-09-13</v>
      </c>
      <c r="G232" s="1" t="d">
        <v>2024-07-15</v>
      </c>
      <c r="H232" t="str">
        <f>VLOOKUP(D232,Table2[],3,FALSE)</f>
        <v>Renew Europe</v>
      </c>
    </row>
    <row r="233" spans="1:8" x14ac:dyDescent="0.2">
      <c r="A233">
        <v>204332</v>
      </c>
      <c r="B233" t="s">
        <v>309</v>
      </c>
      <c r="C233" t="s">
        <v>64</v>
      </c>
      <c r="D233" t="s">
        <v>17</v>
      </c>
      <c r="E233" t="s">
        <v>11</v>
      </c>
      <c r="F233" s="1" t="d">
        <v>2024-07-16</v>
      </c>
      <c r="H233" t="str">
        <f>VLOOKUP(D233,Table2[],3,FALSE)</f>
        <v>Renew Europe</v>
      </c>
    </row>
    <row r="234" spans="1:8" x14ac:dyDescent="0.2">
      <c r="A234">
        <v>28224</v>
      </c>
      <c r="B234" t="s">
        <v>310</v>
      </c>
      <c r="C234" t="s">
        <v>20</v>
      </c>
      <c r="D234" t="s">
        <v>107</v>
      </c>
      <c r="E234" t="s">
        <v>11</v>
      </c>
      <c r="F234" s="1" t="d">
        <v>2014-07-01</v>
      </c>
      <c r="G234" s="1" t="d">
        <v>2019-07-01</v>
      </c>
      <c r="H234" t="str">
        <f>VLOOKUP(D234,Table2[],3,FALSE)</f>
        <v>EPP</v>
      </c>
    </row>
    <row r="235" spans="1:8" x14ac:dyDescent="0.2">
      <c r="A235">
        <v>125093</v>
      </c>
      <c r="B235" t="s">
        <v>311</v>
      </c>
      <c r="C235" t="s">
        <v>106</v>
      </c>
      <c r="D235" t="s">
        <v>90</v>
      </c>
      <c r="E235" t="s">
        <v>11</v>
      </c>
      <c r="F235" s="1" t="d">
        <v>2019-07-02</v>
      </c>
      <c r="G235" s="1" t="d">
        <v>2024-07-15</v>
      </c>
      <c r="H235" t="str">
        <f>VLOOKUP(D235,Table2[],3,FALSE)</f>
        <v>EPP</v>
      </c>
    </row>
    <row r="236" spans="1:8" x14ac:dyDescent="0.2">
      <c r="A236">
        <v>197392</v>
      </c>
      <c r="B236" t="s">
        <v>312</v>
      </c>
      <c r="C236" t="s">
        <v>50</v>
      </c>
      <c r="D236" t="s">
        <v>79</v>
      </c>
      <c r="E236" t="s">
        <v>11</v>
      </c>
      <c r="F236" s="1" t="d">
        <v>2019-07-02</v>
      </c>
      <c r="G236" s="1" t="d">
        <v>2024-07-15</v>
      </c>
      <c r="H236" t="str">
        <f>VLOOKUP(D236,Table2[],3,FALSE)</f>
        <v>S&amp;D</v>
      </c>
    </row>
    <row r="237" spans="1:8" x14ac:dyDescent="0.2">
      <c r="A237">
        <v>124739</v>
      </c>
      <c r="B237" t="s">
        <v>313</v>
      </c>
      <c r="C237" t="s">
        <v>71</v>
      </c>
      <c r="D237" t="s">
        <v>75</v>
      </c>
      <c r="E237" t="s">
        <v>11</v>
      </c>
      <c r="F237" s="1" t="d">
        <v>2014-07-01</v>
      </c>
      <c r="G237" s="1" t="d">
        <v>2019-07-01</v>
      </c>
      <c r="H237" t="str">
        <f>VLOOKUP(D237,Table2[],3,FALSE)</f>
        <v>S&amp;D</v>
      </c>
    </row>
    <row r="238" spans="1:8" x14ac:dyDescent="0.2">
      <c r="A238">
        <v>197489</v>
      </c>
      <c r="B238" t="s">
        <v>314</v>
      </c>
      <c r="C238" t="s">
        <v>20</v>
      </c>
      <c r="D238" t="s">
        <v>24</v>
      </c>
      <c r="E238" t="s">
        <v>11</v>
      </c>
      <c r="F238" s="1" t="d">
        <v>2019-07-02</v>
      </c>
      <c r="G238" s="1" t="d">
        <v>2024-05-22</v>
      </c>
      <c r="H238" t="str">
        <f>VLOOKUP(D238,Table2[],3,FALSE)</f>
        <v>ID</v>
      </c>
    </row>
    <row r="239" spans="1:8" x14ac:dyDescent="0.2">
      <c r="A239">
        <v>197414</v>
      </c>
      <c r="B239" t="s">
        <v>315</v>
      </c>
      <c r="C239" t="s">
        <v>316</v>
      </c>
      <c r="D239" t="s">
        <v>30</v>
      </c>
      <c r="E239" t="s">
        <v>11</v>
      </c>
      <c r="F239" s="1" t="d">
        <v>2024-07-16</v>
      </c>
      <c r="H239" t="str">
        <f>VLOOKUP(D239,Table2[],3,FALSE)</f>
        <v>EPP</v>
      </c>
    </row>
    <row r="240" spans="1:8" x14ac:dyDescent="0.2">
      <c r="A240">
        <v>233862</v>
      </c>
      <c r="B240" t="s">
        <v>317</v>
      </c>
      <c r="C240" t="s">
        <v>111</v>
      </c>
      <c r="D240" t="s">
        <v>48</v>
      </c>
      <c r="E240" t="s">
        <v>11</v>
      </c>
      <c r="F240" s="1" t="d">
        <v>2024-07-16</v>
      </c>
      <c r="H240" t="str">
        <f>VLOOKUP(D240,Table2[],3,FALSE)</f>
        <v>S&amp;D</v>
      </c>
    </row>
    <row r="241" spans="1:8" x14ac:dyDescent="0.2">
      <c r="A241">
        <v>125042</v>
      </c>
      <c r="B241" t="s">
        <v>318</v>
      </c>
      <c r="C241" t="s">
        <v>13</v>
      </c>
      <c r="D241" t="s">
        <v>79</v>
      </c>
      <c r="E241" t="s">
        <v>11</v>
      </c>
      <c r="F241" s="1" t="d">
        <v>2019-07-02</v>
      </c>
      <c r="G241" s="1" t="d">
        <v>2024-07-15</v>
      </c>
      <c r="H241" t="str">
        <f>VLOOKUP(D241,Table2[],3,FALSE)</f>
        <v>S&amp;D</v>
      </c>
    </row>
    <row r="242" spans="1:8" x14ac:dyDescent="0.2">
      <c r="A242">
        <v>197935</v>
      </c>
      <c r="B242" t="s">
        <v>319</v>
      </c>
      <c r="C242" t="s">
        <v>155</v>
      </c>
      <c r="D242" t="s">
        <v>90</v>
      </c>
      <c r="E242" t="s">
        <v>11</v>
      </c>
      <c r="F242" s="1" t="d">
        <v>2019-07-02</v>
      </c>
      <c r="G242" s="1" t="d">
        <v>2024-07-15</v>
      </c>
      <c r="H242" t="str">
        <f>VLOOKUP(D242,Table2[],3,FALSE)</f>
        <v>EPP</v>
      </c>
    </row>
    <row r="243" spans="1:8" x14ac:dyDescent="0.2">
      <c r="A243">
        <v>124712</v>
      </c>
      <c r="B243" t="s">
        <v>320</v>
      </c>
      <c r="C243" t="s">
        <v>73</v>
      </c>
      <c r="D243" t="s">
        <v>90</v>
      </c>
      <c r="E243" t="s">
        <v>11</v>
      </c>
      <c r="F243" s="1" t="d">
        <v>2021-03-05</v>
      </c>
      <c r="G243" s="1" t="d">
        <v>2024-07-15</v>
      </c>
      <c r="H243" t="str">
        <f>VLOOKUP(D243,Table2[],3,FALSE)</f>
        <v>EPP</v>
      </c>
    </row>
    <row r="244" spans="1:8" x14ac:dyDescent="0.2">
      <c r="A244">
        <v>197672</v>
      </c>
      <c r="B244" t="s">
        <v>321</v>
      </c>
      <c r="C244" t="s">
        <v>83</v>
      </c>
      <c r="D244" t="s">
        <v>10</v>
      </c>
      <c r="E244" t="s">
        <v>11</v>
      </c>
      <c r="F244" s="1" t="d">
        <v>2019-07-02</v>
      </c>
      <c r="G244" s="1" t="d">
        <v>2024-07-15</v>
      </c>
      <c r="H244" t="str">
        <f>VLOOKUP(D244,Table2[],3,FALSE)</f>
        <v>EPP</v>
      </c>
    </row>
    <row r="245" spans="1:8" x14ac:dyDescent="0.2">
      <c r="A245">
        <v>124691</v>
      </c>
      <c r="B245" t="s">
        <v>322</v>
      </c>
      <c r="C245" t="s">
        <v>316</v>
      </c>
      <c r="D245" t="s">
        <v>75</v>
      </c>
      <c r="E245" t="s">
        <v>11</v>
      </c>
      <c r="F245" s="1" t="d">
        <v>2014-07-01</v>
      </c>
      <c r="G245" s="1" t="d">
        <v>2019-07-01</v>
      </c>
      <c r="H245" t="str">
        <f>VLOOKUP(D245,Table2[],3,FALSE)</f>
        <v>S&amp;D</v>
      </c>
    </row>
    <row r="246" spans="1:8" x14ac:dyDescent="0.2">
      <c r="A246">
        <v>124884</v>
      </c>
      <c r="B246" t="s">
        <v>323</v>
      </c>
      <c r="C246" t="s">
        <v>68</v>
      </c>
      <c r="D246" t="s">
        <v>167</v>
      </c>
      <c r="E246" t="s">
        <v>11</v>
      </c>
      <c r="F246" s="1" t="d">
        <v>2014-07-01</v>
      </c>
      <c r="G246" s="1" t="d">
        <v>2016-12-12</v>
      </c>
      <c r="H246" t="str">
        <f>VLOOKUP(D246,Table2[],3,FALSE)</f>
        <v>ECR</v>
      </c>
    </row>
    <row r="247" spans="1:8" x14ac:dyDescent="0.2">
      <c r="A247">
        <v>204733</v>
      </c>
      <c r="B247" t="s">
        <v>324</v>
      </c>
      <c r="C247" t="s">
        <v>16</v>
      </c>
      <c r="D247" t="s">
        <v>35</v>
      </c>
      <c r="E247" t="s">
        <v>11</v>
      </c>
      <c r="F247" s="1" t="d">
        <v>2021-12-08</v>
      </c>
      <c r="G247" s="1" t="d">
        <v>2024-07-15</v>
      </c>
      <c r="H247" t="str">
        <f>VLOOKUP(D247,Table2[],3,FALSE)</f>
        <v>ECR</v>
      </c>
    </row>
    <row r="248" spans="1:8" x14ac:dyDescent="0.2">
      <c r="A248">
        <v>250918</v>
      </c>
      <c r="B248" t="s">
        <v>325</v>
      </c>
      <c r="C248" t="s">
        <v>23</v>
      </c>
      <c r="D248" t="s">
        <v>28</v>
      </c>
      <c r="E248" t="s">
        <v>11</v>
      </c>
      <c r="F248" s="1" t="d">
        <v>2023-11-30</v>
      </c>
      <c r="G248" s="1" t="d">
        <v>2024-07-15</v>
      </c>
      <c r="H248" t="str">
        <f>VLOOKUP(D248,Table2[],3,FALSE)</f>
        <v>Greens/EFA</v>
      </c>
    </row>
    <row r="249" spans="1:8" x14ac:dyDescent="0.2">
      <c r="A249">
        <v>125038</v>
      </c>
      <c r="B249" t="s">
        <v>326</v>
      </c>
      <c r="C249" t="s">
        <v>13</v>
      </c>
      <c r="D249" t="s">
        <v>66</v>
      </c>
      <c r="E249" t="s">
        <v>11</v>
      </c>
      <c r="F249" s="1" t="d">
        <v>2019-07-02</v>
      </c>
      <c r="G249" s="1" t="d">
        <v>2024-07-15</v>
      </c>
      <c r="H249" t="str">
        <f>VLOOKUP(D249,Table2[],3,FALSE)</f>
        <v>Renew Europe</v>
      </c>
    </row>
    <row r="250" spans="1:8" x14ac:dyDescent="0.2">
      <c r="A250">
        <v>132191</v>
      </c>
      <c r="B250" t="s">
        <v>327</v>
      </c>
      <c r="C250" t="s">
        <v>20</v>
      </c>
      <c r="D250" t="s">
        <v>90</v>
      </c>
      <c r="E250" t="s">
        <v>11</v>
      </c>
      <c r="F250" s="1" t="d">
        <v>2024-05-23</v>
      </c>
      <c r="G250" s="1" t="d">
        <v>2024-07-15</v>
      </c>
      <c r="H250" t="str">
        <f>VLOOKUP(D250,Table2[],3,FALSE)</f>
        <v>EPP</v>
      </c>
    </row>
    <row r="251" spans="1:8" x14ac:dyDescent="0.2">
      <c r="A251">
        <v>840</v>
      </c>
      <c r="B251" t="s">
        <v>328</v>
      </c>
      <c r="C251" t="s">
        <v>211</v>
      </c>
      <c r="D251" t="s">
        <v>329</v>
      </c>
      <c r="E251" t="s">
        <v>11</v>
      </c>
      <c r="F251" s="1" t="d">
        <v>1994-10-25</v>
      </c>
      <c r="G251" s="1" t="d">
        <v>1995-02-28</v>
      </c>
      <c r="H251" t="str">
        <f>VLOOKUP(D251,Table2[],3,FALSE)</f>
        <v>Renew Europe</v>
      </c>
    </row>
    <row r="252" spans="1:8" x14ac:dyDescent="0.2">
      <c r="A252">
        <v>197462</v>
      </c>
      <c r="B252" t="s">
        <v>330</v>
      </c>
      <c r="C252" t="s">
        <v>20</v>
      </c>
      <c r="D252" t="s">
        <v>28</v>
      </c>
      <c r="E252" t="s">
        <v>11</v>
      </c>
      <c r="F252" s="1" t="d">
        <v>2019-07-02</v>
      </c>
      <c r="G252" s="1" t="d">
        <v>2024-07-15</v>
      </c>
      <c r="H252" t="str">
        <f>VLOOKUP(D252,Table2[],3,FALSE)</f>
        <v>Greens/EFA</v>
      </c>
    </row>
    <row r="253" spans="1:8" x14ac:dyDescent="0.2">
      <c r="A253">
        <v>197578</v>
      </c>
      <c r="B253" t="s">
        <v>331</v>
      </c>
      <c r="C253" t="s">
        <v>54</v>
      </c>
      <c r="D253" t="s">
        <v>40</v>
      </c>
      <c r="E253" t="s">
        <v>11</v>
      </c>
      <c r="F253" s="1" t="d">
        <v>2024-07-16</v>
      </c>
      <c r="H253" t="str">
        <f>VLOOKUP(D253,Table2[],3,FALSE)</f>
        <v>PfE</v>
      </c>
    </row>
    <row r="254" spans="1:8" x14ac:dyDescent="0.2">
      <c r="A254">
        <v>96922</v>
      </c>
      <c r="B254" t="s">
        <v>332</v>
      </c>
      <c r="C254" t="s">
        <v>13</v>
      </c>
      <c r="D254" t="s">
        <v>333</v>
      </c>
      <c r="E254" t="s">
        <v>31</v>
      </c>
      <c r="F254" s="1" t="d">
        <v>2014-11-05</v>
      </c>
      <c r="G254" s="1" t="d">
        <v>2017-01-31</v>
      </c>
      <c r="H254" t="str">
        <f>VLOOKUP(D254,Table2[],3,FALSE)</f>
        <v>Renew Europe</v>
      </c>
    </row>
    <row r="255" spans="1:8" x14ac:dyDescent="0.2">
      <c r="A255">
        <v>197831</v>
      </c>
      <c r="B255" t="s">
        <v>334</v>
      </c>
      <c r="C255" t="s">
        <v>13</v>
      </c>
      <c r="D255" t="s">
        <v>40</v>
      </c>
      <c r="E255" t="s">
        <v>31</v>
      </c>
      <c r="F255" s="1" t="d">
        <v>2024-07-16</v>
      </c>
      <c r="H255" t="str">
        <f>VLOOKUP(D255,Table2[],3,FALSE)</f>
        <v>PfE</v>
      </c>
    </row>
    <row r="256" spans="1:8" x14ac:dyDescent="0.2">
      <c r="A256">
        <v>197777</v>
      </c>
      <c r="B256" t="s">
        <v>335</v>
      </c>
      <c r="C256" t="s">
        <v>13</v>
      </c>
      <c r="D256" t="s">
        <v>10</v>
      </c>
      <c r="E256" t="s">
        <v>11</v>
      </c>
      <c r="F256" s="1" t="d">
        <v>2019-07-02</v>
      </c>
      <c r="G256" s="1" t="d">
        <v>2024-07-15</v>
      </c>
      <c r="H256" t="str">
        <f>VLOOKUP(D256,Table2[],3,FALSE)</f>
        <v>EPP</v>
      </c>
    </row>
    <row r="257" spans="1:8" x14ac:dyDescent="0.2">
      <c r="A257">
        <v>28347</v>
      </c>
      <c r="B257" t="s">
        <v>336</v>
      </c>
      <c r="C257" t="s">
        <v>13</v>
      </c>
      <c r="D257" t="s">
        <v>48</v>
      </c>
      <c r="E257" t="s">
        <v>11</v>
      </c>
      <c r="F257" s="1" t="d">
        <v>2024-07-16</v>
      </c>
      <c r="H257" t="str">
        <f>VLOOKUP(D257,Table2[],3,FALSE)</f>
        <v>S&amp;D</v>
      </c>
    </row>
    <row r="258" spans="1:8" x14ac:dyDescent="0.2">
      <c r="A258">
        <v>197467</v>
      </c>
      <c r="B258" t="s">
        <v>337</v>
      </c>
      <c r="C258" t="s">
        <v>88</v>
      </c>
      <c r="D258" t="s">
        <v>35</v>
      </c>
      <c r="E258" t="s">
        <v>18</v>
      </c>
      <c r="F258" s="1" t="d">
        <v>2019-07-02</v>
      </c>
      <c r="G258" s="1" t="d">
        <v>2024-07-15</v>
      </c>
      <c r="H258" t="str">
        <f>VLOOKUP(D258,Table2[],3,FALSE)</f>
        <v>ECR</v>
      </c>
    </row>
    <row r="259" spans="1:8" x14ac:dyDescent="0.2">
      <c r="A259">
        <v>135511</v>
      </c>
      <c r="B259" t="s">
        <v>338</v>
      </c>
      <c r="C259" t="s">
        <v>23</v>
      </c>
      <c r="D259" t="s">
        <v>17</v>
      </c>
      <c r="E259" t="s">
        <v>202</v>
      </c>
      <c r="F259" s="1" t="d">
        <v>2024-07-16</v>
      </c>
      <c r="H259" t="str">
        <f>VLOOKUP(D259,Table2[],3,FALSE)</f>
        <v>Renew Europe</v>
      </c>
    </row>
    <row r="260" spans="1:8" x14ac:dyDescent="0.2">
      <c r="A260">
        <v>208722</v>
      </c>
      <c r="B260" t="s">
        <v>339</v>
      </c>
      <c r="C260" t="s">
        <v>88</v>
      </c>
      <c r="D260" t="s">
        <v>51</v>
      </c>
      <c r="E260" t="s">
        <v>11</v>
      </c>
      <c r="F260" s="1" t="d">
        <v>2024-07-16</v>
      </c>
      <c r="H260" t="str">
        <f>VLOOKUP(D260,Table2[],3,FALSE)</f>
        <v>Greens/EFA</v>
      </c>
    </row>
    <row r="261" spans="1:8" x14ac:dyDescent="0.2">
      <c r="A261">
        <v>185771</v>
      </c>
      <c r="B261" t="s">
        <v>340</v>
      </c>
      <c r="C261" t="s">
        <v>88</v>
      </c>
      <c r="D261" t="s">
        <v>24</v>
      </c>
      <c r="E261" t="s">
        <v>11</v>
      </c>
      <c r="F261" s="1" t="d">
        <v>2019-07-02</v>
      </c>
      <c r="G261" s="1" t="d">
        <v>2024-07-15</v>
      </c>
      <c r="H261" t="str">
        <f>VLOOKUP(D261,Table2[],3,FALSE)</f>
        <v>ID</v>
      </c>
    </row>
    <row r="262" spans="1:8" x14ac:dyDescent="0.2">
      <c r="A262">
        <v>129164</v>
      </c>
      <c r="B262" t="s">
        <v>341</v>
      </c>
      <c r="C262" t="s">
        <v>88</v>
      </c>
      <c r="D262" t="s">
        <v>10</v>
      </c>
      <c r="E262" t="s">
        <v>11</v>
      </c>
      <c r="F262" s="1" t="d">
        <v>2021-01-26</v>
      </c>
      <c r="G262" s="1" t="d">
        <v>2024-07-15</v>
      </c>
      <c r="H262" t="str">
        <f>VLOOKUP(D262,Table2[],3,FALSE)</f>
        <v>EPP</v>
      </c>
    </row>
    <row r="263" spans="1:8" x14ac:dyDescent="0.2">
      <c r="A263">
        <v>197493</v>
      </c>
      <c r="B263" t="s">
        <v>342</v>
      </c>
      <c r="C263" t="s">
        <v>163</v>
      </c>
      <c r="D263" t="s">
        <v>24</v>
      </c>
      <c r="E263" t="s">
        <v>102</v>
      </c>
      <c r="F263" s="1" t="d">
        <v>2019-07-02</v>
      </c>
      <c r="G263" s="1" t="d">
        <v>2024-07-15</v>
      </c>
      <c r="H263" t="str">
        <f>VLOOKUP(D263,Table2[],3,FALSE)</f>
        <v>ID</v>
      </c>
    </row>
    <row r="264" spans="1:8" x14ac:dyDescent="0.2">
      <c r="A264">
        <v>197763</v>
      </c>
      <c r="B264" t="s">
        <v>343</v>
      </c>
      <c r="C264" t="s">
        <v>42</v>
      </c>
      <c r="D264" t="s">
        <v>344</v>
      </c>
      <c r="E264" t="s">
        <v>31</v>
      </c>
      <c r="F264" s="1" t="d">
        <v>2024-07-16</v>
      </c>
      <c r="H264" t="str">
        <f>VLOOKUP(D264,Table2[],3,FALSE)</f>
        <v>ESN</v>
      </c>
    </row>
    <row r="265" spans="1:8" x14ac:dyDescent="0.2">
      <c r="A265">
        <v>197840</v>
      </c>
      <c r="B265" t="s">
        <v>345</v>
      </c>
      <c r="C265" t="s">
        <v>161</v>
      </c>
      <c r="D265" t="s">
        <v>30</v>
      </c>
      <c r="E265" t="s">
        <v>11</v>
      </c>
      <c r="F265" s="1" t="d">
        <v>2024-07-16</v>
      </c>
      <c r="H265" t="str">
        <f>VLOOKUP(D265,Table2[],3,FALSE)</f>
        <v>EPP</v>
      </c>
    </row>
    <row r="266" spans="1:8" x14ac:dyDescent="0.2">
      <c r="A266">
        <v>97058</v>
      </c>
      <c r="B266" t="s">
        <v>346</v>
      </c>
      <c r="C266" t="s">
        <v>88</v>
      </c>
      <c r="D266" t="s">
        <v>66</v>
      </c>
      <c r="E266" t="s">
        <v>11</v>
      </c>
      <c r="F266" s="1" t="d">
        <v>2019-07-02</v>
      </c>
      <c r="G266" s="1" t="d">
        <v>2024-07-15</v>
      </c>
      <c r="H266" t="str">
        <f>VLOOKUP(D266,Table2[],3,FALSE)</f>
        <v>Renew Europe</v>
      </c>
    </row>
    <row r="267" spans="1:8" x14ac:dyDescent="0.2">
      <c r="A267">
        <v>124785</v>
      </c>
      <c r="B267" t="s">
        <v>347</v>
      </c>
      <c r="C267" t="s">
        <v>83</v>
      </c>
      <c r="D267" t="s">
        <v>48</v>
      </c>
      <c r="E267" t="s">
        <v>11</v>
      </c>
      <c r="F267" s="1" t="d">
        <v>2024-07-16</v>
      </c>
      <c r="H267" t="str">
        <f>VLOOKUP(D267,Table2[],3,FALSE)</f>
        <v>S&amp;D</v>
      </c>
    </row>
    <row r="268" spans="1:8" x14ac:dyDescent="0.2">
      <c r="A268">
        <v>197538</v>
      </c>
      <c r="B268" t="s">
        <v>348</v>
      </c>
      <c r="C268" t="s">
        <v>68</v>
      </c>
      <c r="D268" t="s">
        <v>35</v>
      </c>
      <c r="E268" t="s">
        <v>11</v>
      </c>
      <c r="F268" s="1" t="d">
        <v>2019-07-02</v>
      </c>
      <c r="G268" s="1" t="d">
        <v>2024-07-15</v>
      </c>
      <c r="H268" t="str">
        <f>VLOOKUP(D268,Table2[],3,FALSE)</f>
        <v>ECR</v>
      </c>
    </row>
    <row r="269" spans="1:8" x14ac:dyDescent="0.2">
      <c r="A269">
        <v>86793</v>
      </c>
      <c r="B269" t="s">
        <v>349</v>
      </c>
      <c r="C269" t="s">
        <v>20</v>
      </c>
      <c r="D269" t="s">
        <v>28</v>
      </c>
      <c r="E269" t="s">
        <v>11</v>
      </c>
      <c r="F269" s="1" t="d">
        <v>2019-07-02</v>
      </c>
      <c r="G269" s="1" t="d">
        <v>2024-07-15</v>
      </c>
      <c r="H269" t="str">
        <f>VLOOKUP(D269,Table2[],3,FALSE)</f>
        <v>Greens/EFA</v>
      </c>
    </row>
    <row r="270" spans="1:8" x14ac:dyDescent="0.2">
      <c r="A270">
        <v>96808</v>
      </c>
      <c r="B270" t="s">
        <v>350</v>
      </c>
      <c r="C270" t="s">
        <v>13</v>
      </c>
      <c r="D270" t="s">
        <v>10</v>
      </c>
      <c r="E270" t="s">
        <v>11</v>
      </c>
      <c r="F270" s="1" t="d">
        <v>2019-07-02</v>
      </c>
      <c r="G270" s="1" t="d">
        <v>2024-07-15</v>
      </c>
      <c r="H270" t="str">
        <f>VLOOKUP(D270,Table2[],3,FALSE)</f>
        <v>EPP</v>
      </c>
    </row>
    <row r="271" spans="1:8" x14ac:dyDescent="0.2">
      <c r="A271">
        <v>197526</v>
      </c>
      <c r="B271" t="s">
        <v>351</v>
      </c>
      <c r="C271" t="s">
        <v>101</v>
      </c>
      <c r="D271" t="s">
        <v>40</v>
      </c>
      <c r="E271" t="s">
        <v>11</v>
      </c>
      <c r="F271" s="1" t="d">
        <v>2024-07-16</v>
      </c>
      <c r="G271" s="1" t="d">
        <v>2024-07-31</v>
      </c>
      <c r="H271" t="str">
        <f>VLOOKUP(D271,Table2[],3,FALSE)</f>
        <v>PfE</v>
      </c>
    </row>
    <row r="272" spans="1:8" x14ac:dyDescent="0.2">
      <c r="A272">
        <v>202036</v>
      </c>
      <c r="B272" t="s">
        <v>352</v>
      </c>
      <c r="C272" t="s">
        <v>155</v>
      </c>
      <c r="D272" t="s">
        <v>30</v>
      </c>
      <c r="E272" t="s">
        <v>11</v>
      </c>
      <c r="F272" s="1" t="d">
        <v>2024-07-16</v>
      </c>
      <c r="H272" t="str">
        <f>VLOOKUP(D272,Table2[],3,FALSE)</f>
        <v>EPP</v>
      </c>
    </row>
    <row r="273" spans="1:8" x14ac:dyDescent="0.2">
      <c r="A273">
        <v>96780</v>
      </c>
      <c r="B273" t="s">
        <v>353</v>
      </c>
      <c r="C273" t="s">
        <v>20</v>
      </c>
      <c r="D273" t="s">
        <v>10</v>
      </c>
      <c r="E273" t="s">
        <v>11</v>
      </c>
      <c r="F273" s="1" t="d">
        <v>2019-07-02</v>
      </c>
      <c r="G273" s="1" t="d">
        <v>2024-07-15</v>
      </c>
      <c r="H273" t="str">
        <f>VLOOKUP(D273,Table2[],3,FALSE)</f>
        <v>EPP</v>
      </c>
    </row>
    <row r="274" spans="1:8" x14ac:dyDescent="0.2">
      <c r="A274">
        <v>106936</v>
      </c>
      <c r="B274" t="s">
        <v>354</v>
      </c>
      <c r="C274" t="s">
        <v>20</v>
      </c>
      <c r="D274" t="s">
        <v>51</v>
      </c>
      <c r="E274" t="s">
        <v>11</v>
      </c>
      <c r="F274" s="1" t="d">
        <v>2024-07-16</v>
      </c>
      <c r="H274" t="str">
        <f>VLOOKUP(D274,Table2[],3,FALSE)</f>
        <v>Greens/EFA</v>
      </c>
    </row>
    <row r="275" spans="1:8" x14ac:dyDescent="0.2">
      <c r="A275">
        <v>124985</v>
      </c>
      <c r="B275" t="s">
        <v>355</v>
      </c>
      <c r="C275" t="s">
        <v>64</v>
      </c>
      <c r="D275" t="s">
        <v>136</v>
      </c>
      <c r="E275" t="s">
        <v>11</v>
      </c>
      <c r="F275" s="1" t="d">
        <v>2024-07-16</v>
      </c>
      <c r="G275" s="1" t="d">
        <v>2024-07-17</v>
      </c>
      <c r="H275" t="str">
        <f>VLOOKUP(D275,Table2[],3,FALSE)</f>
        <v>The Left</v>
      </c>
    </row>
    <row r="276" spans="1:8" x14ac:dyDescent="0.2">
      <c r="A276">
        <v>197742</v>
      </c>
      <c r="B276" t="s">
        <v>356</v>
      </c>
      <c r="C276" t="s">
        <v>13</v>
      </c>
      <c r="D276" t="s">
        <v>79</v>
      </c>
      <c r="E276" t="s">
        <v>11</v>
      </c>
      <c r="F276" s="1" t="d">
        <v>2019-07-02</v>
      </c>
      <c r="G276" s="1" t="d">
        <v>2024-07-15</v>
      </c>
      <c r="H276" t="str">
        <f>VLOOKUP(D276,Table2[],3,FALSE)</f>
        <v>S&amp;D</v>
      </c>
    </row>
    <row r="277" spans="1:8" x14ac:dyDescent="0.2">
      <c r="A277">
        <v>124771</v>
      </c>
      <c r="B277" t="s">
        <v>357</v>
      </c>
      <c r="C277" t="s">
        <v>23</v>
      </c>
      <c r="D277" t="s">
        <v>55</v>
      </c>
      <c r="E277" t="s">
        <v>11</v>
      </c>
      <c r="F277" s="1" t="d">
        <v>2015-06-15</v>
      </c>
      <c r="G277" s="1" t="d">
        <v>2019-07-01</v>
      </c>
      <c r="H277" t="str">
        <f>VLOOKUP(D277,Table2[],3,FALSE)</f>
        <v>ID</v>
      </c>
    </row>
    <row r="278" spans="1:8" x14ac:dyDescent="0.2">
      <c r="A278">
        <v>197595</v>
      </c>
      <c r="B278" t="s">
        <v>358</v>
      </c>
      <c r="C278" t="s">
        <v>73</v>
      </c>
      <c r="D278" t="s">
        <v>66</v>
      </c>
      <c r="E278" t="s">
        <v>11</v>
      </c>
      <c r="F278" s="1" t="d">
        <v>2019-07-02</v>
      </c>
      <c r="G278" s="1" t="d">
        <v>2024-07-15</v>
      </c>
      <c r="H278" t="str">
        <f>VLOOKUP(D278,Table2[],3,FALSE)</f>
        <v>Renew Europe</v>
      </c>
    </row>
    <row r="279" spans="1:8" x14ac:dyDescent="0.2">
      <c r="A279">
        <v>197584</v>
      </c>
      <c r="B279" t="s">
        <v>359</v>
      </c>
      <c r="C279" t="s">
        <v>73</v>
      </c>
      <c r="D279" t="s">
        <v>79</v>
      </c>
      <c r="E279" t="s">
        <v>11</v>
      </c>
      <c r="F279" s="1" t="d">
        <v>2019-07-02</v>
      </c>
      <c r="G279" s="1" t="d">
        <v>2024-07-15</v>
      </c>
      <c r="H279" t="str">
        <f>VLOOKUP(D279,Table2[],3,FALSE)</f>
        <v>S&amp;D</v>
      </c>
    </row>
    <row r="280" spans="1:8" x14ac:dyDescent="0.2">
      <c r="A280">
        <v>28399</v>
      </c>
      <c r="B280" t="s">
        <v>360</v>
      </c>
      <c r="C280" t="s">
        <v>13</v>
      </c>
      <c r="D280" t="s">
        <v>225</v>
      </c>
      <c r="E280" t="s">
        <v>11</v>
      </c>
      <c r="F280" s="1" t="d">
        <v>2004-07-20</v>
      </c>
      <c r="G280" s="1" t="d">
        <v>2004-08-30</v>
      </c>
      <c r="H280" t="str">
        <f>VLOOKUP(D280,Table2[],3,FALSE)</f>
        <v>EPP</v>
      </c>
    </row>
    <row r="281" spans="1:8" x14ac:dyDescent="0.2">
      <c r="A281">
        <v>197619</v>
      </c>
      <c r="B281" t="s">
        <v>361</v>
      </c>
      <c r="C281" t="s">
        <v>54</v>
      </c>
      <c r="D281" t="s">
        <v>90</v>
      </c>
      <c r="E281" t="s">
        <v>11</v>
      </c>
      <c r="F281" s="1" t="d">
        <v>2019-07-02</v>
      </c>
      <c r="G281" s="1" t="d">
        <v>2024-07-15</v>
      </c>
      <c r="H281" t="str">
        <f>VLOOKUP(D281,Table2[],3,FALSE)</f>
        <v>EPP</v>
      </c>
    </row>
    <row r="282" spans="1:8" x14ac:dyDescent="0.2">
      <c r="A282">
        <v>197695</v>
      </c>
      <c r="B282" t="s">
        <v>362</v>
      </c>
      <c r="C282" t="s">
        <v>106</v>
      </c>
      <c r="D282" t="s">
        <v>10</v>
      </c>
      <c r="E282" t="s">
        <v>11</v>
      </c>
      <c r="F282" s="1" t="d">
        <v>2019-07-02</v>
      </c>
      <c r="G282" s="1" t="d">
        <v>2024-07-15</v>
      </c>
      <c r="H282" t="str">
        <f>VLOOKUP(D282,Table2[],3,FALSE)</f>
        <v>EPP</v>
      </c>
    </row>
    <row r="283" spans="1:8" x14ac:dyDescent="0.2">
      <c r="A283">
        <v>197511</v>
      </c>
      <c r="B283" t="s">
        <v>363</v>
      </c>
      <c r="C283" t="s">
        <v>23</v>
      </c>
      <c r="D283" t="s">
        <v>66</v>
      </c>
      <c r="E283" t="s">
        <v>11</v>
      </c>
      <c r="F283" s="1" t="d">
        <v>2022-03-09</v>
      </c>
      <c r="G283" s="1" t="d">
        <v>2024-07-15</v>
      </c>
      <c r="H283" t="str">
        <f>VLOOKUP(D283,Table2[],3,FALSE)</f>
        <v>Renew Europe</v>
      </c>
    </row>
    <row r="284" spans="1:8" x14ac:dyDescent="0.2">
      <c r="A284">
        <v>197818</v>
      </c>
      <c r="B284" t="s">
        <v>364</v>
      </c>
      <c r="C284" t="s">
        <v>64</v>
      </c>
      <c r="D284" t="s">
        <v>66</v>
      </c>
      <c r="E284" t="s">
        <v>11</v>
      </c>
      <c r="F284" s="1" t="d">
        <v>2019-07-02</v>
      </c>
      <c r="G284" s="1" t="d">
        <v>2024-07-15</v>
      </c>
      <c r="H284" t="str">
        <f>VLOOKUP(D284,Table2[],3,FALSE)</f>
        <v>Renew Europe</v>
      </c>
    </row>
    <row r="285" spans="1:8" x14ac:dyDescent="0.2">
      <c r="A285">
        <v>239271</v>
      </c>
      <c r="B285" t="s">
        <v>365</v>
      </c>
      <c r="C285" t="s">
        <v>316</v>
      </c>
      <c r="D285" t="s">
        <v>10</v>
      </c>
      <c r="E285" t="s">
        <v>11</v>
      </c>
      <c r="F285" s="1" t="d">
        <v>2022-11-02</v>
      </c>
      <c r="G285" s="1" t="d">
        <v>2024-07-15</v>
      </c>
      <c r="H285" t="str">
        <f>VLOOKUP(D285,Table2[],3,FALSE)</f>
        <v>EPP</v>
      </c>
    </row>
    <row r="286" spans="1:8" x14ac:dyDescent="0.2">
      <c r="A286">
        <v>197662</v>
      </c>
      <c r="B286" t="s">
        <v>366</v>
      </c>
      <c r="C286" t="s">
        <v>106</v>
      </c>
      <c r="D286" t="s">
        <v>10</v>
      </c>
      <c r="E286" t="s">
        <v>31</v>
      </c>
      <c r="F286" s="1" t="d">
        <v>2019-07-02</v>
      </c>
      <c r="G286" s="1" t="d">
        <v>2024-07-15</v>
      </c>
      <c r="H286" t="str">
        <f>VLOOKUP(D286,Table2[],3,FALSE)</f>
        <v>EPP</v>
      </c>
    </row>
    <row r="287" spans="1:8" x14ac:dyDescent="0.2">
      <c r="A287">
        <v>213330</v>
      </c>
      <c r="B287" t="s">
        <v>367</v>
      </c>
      <c r="C287" t="s">
        <v>73</v>
      </c>
      <c r="D287" t="s">
        <v>40</v>
      </c>
      <c r="E287" t="s">
        <v>11</v>
      </c>
      <c r="F287" s="1" t="d">
        <v>2024-07-16</v>
      </c>
      <c r="H287" t="str">
        <f>VLOOKUP(D287,Table2[],3,FALSE)</f>
        <v>PfE</v>
      </c>
    </row>
    <row r="288" spans="1:8" x14ac:dyDescent="0.2">
      <c r="A288">
        <v>197626</v>
      </c>
      <c r="B288" t="s">
        <v>368</v>
      </c>
      <c r="C288" t="s">
        <v>23</v>
      </c>
      <c r="D288" t="s">
        <v>24</v>
      </c>
      <c r="E288" t="s">
        <v>11</v>
      </c>
      <c r="F288" s="1" t="d">
        <v>2019-07-02</v>
      </c>
      <c r="G288" s="1" t="d">
        <v>2022-11-09</v>
      </c>
      <c r="H288" t="str">
        <f>VLOOKUP(D288,Table2[],3,FALSE)</f>
        <v>ID</v>
      </c>
    </row>
    <row r="289" spans="1:8" x14ac:dyDescent="0.2">
      <c r="A289">
        <v>190464</v>
      </c>
      <c r="B289" t="s">
        <v>369</v>
      </c>
      <c r="C289" t="s">
        <v>47</v>
      </c>
      <c r="D289" t="s">
        <v>28</v>
      </c>
      <c r="E289" t="s">
        <v>11</v>
      </c>
      <c r="F289" s="1" t="d">
        <v>2020-02-01</v>
      </c>
      <c r="G289" s="1" t="d">
        <v>2024-07-15</v>
      </c>
      <c r="H289" t="str">
        <f>VLOOKUP(D289,Table2[],3,FALSE)</f>
        <v>Greens/EFA</v>
      </c>
    </row>
    <row r="290" spans="1:8" x14ac:dyDescent="0.2">
      <c r="A290">
        <v>197836</v>
      </c>
      <c r="B290" t="s">
        <v>370</v>
      </c>
      <c r="C290" t="s">
        <v>77</v>
      </c>
      <c r="D290" t="s">
        <v>10</v>
      </c>
      <c r="E290" t="s">
        <v>11</v>
      </c>
      <c r="F290" s="1" t="d">
        <v>2019-07-02</v>
      </c>
      <c r="G290" s="1" t="d">
        <v>2024-07-15</v>
      </c>
      <c r="H290" t="str">
        <f>VLOOKUP(D290,Table2[],3,FALSE)</f>
        <v>EPP</v>
      </c>
    </row>
    <row r="291" spans="1:8" x14ac:dyDescent="0.2">
      <c r="A291">
        <v>129073</v>
      </c>
      <c r="B291" t="s">
        <v>371</v>
      </c>
      <c r="C291" t="s">
        <v>163</v>
      </c>
      <c r="D291" t="s">
        <v>333</v>
      </c>
      <c r="E291" t="s">
        <v>11</v>
      </c>
      <c r="F291" s="1" t="d">
        <v>2014-11-03</v>
      </c>
      <c r="G291" s="1" t="d">
        <v>2019-07-01</v>
      </c>
      <c r="H291" t="str">
        <f>VLOOKUP(D291,Table2[],3,FALSE)</f>
        <v>Renew Europe</v>
      </c>
    </row>
    <row r="292" spans="1:8" x14ac:dyDescent="0.2">
      <c r="A292">
        <v>197687</v>
      </c>
      <c r="B292" t="s">
        <v>372</v>
      </c>
      <c r="C292" t="s">
        <v>23</v>
      </c>
      <c r="D292" t="s">
        <v>24</v>
      </c>
      <c r="E292" t="s">
        <v>11</v>
      </c>
      <c r="F292" s="1" t="d">
        <v>2019-07-02</v>
      </c>
      <c r="G292" s="1" t="d">
        <v>2024-07-15</v>
      </c>
      <c r="H292" t="str">
        <f>VLOOKUP(D292,Table2[],3,FALSE)</f>
        <v>ID</v>
      </c>
    </row>
    <row r="293" spans="1:8" x14ac:dyDescent="0.2">
      <c r="A293">
        <v>197719</v>
      </c>
      <c r="B293" t="s">
        <v>373</v>
      </c>
      <c r="C293" t="s">
        <v>13</v>
      </c>
      <c r="D293" t="s">
        <v>48</v>
      </c>
      <c r="E293" t="s">
        <v>11</v>
      </c>
      <c r="F293" s="1" t="d">
        <v>2024-07-16</v>
      </c>
      <c r="H293" t="str">
        <f>VLOOKUP(D293,Table2[],3,FALSE)</f>
        <v>S&amp;D</v>
      </c>
    </row>
    <row r="294" spans="1:8" x14ac:dyDescent="0.2">
      <c r="A294">
        <v>197519</v>
      </c>
      <c r="B294" t="s">
        <v>374</v>
      </c>
      <c r="C294" t="s">
        <v>68</v>
      </c>
      <c r="D294" t="s">
        <v>35</v>
      </c>
      <c r="E294" t="s">
        <v>11</v>
      </c>
      <c r="F294" s="1" t="d">
        <v>2019-07-02</v>
      </c>
      <c r="G294" s="1" t="d">
        <v>2024-07-15</v>
      </c>
      <c r="H294" t="str">
        <f>VLOOKUP(D294,Table2[],3,FALSE)</f>
        <v>ECR</v>
      </c>
    </row>
    <row r="295" spans="1:8" x14ac:dyDescent="0.2">
      <c r="A295">
        <v>28346</v>
      </c>
      <c r="B295" t="s">
        <v>375</v>
      </c>
      <c r="C295" t="s">
        <v>54</v>
      </c>
      <c r="D295" t="s">
        <v>79</v>
      </c>
      <c r="E295" t="s">
        <v>11</v>
      </c>
      <c r="F295" s="1" t="d">
        <v>2023-04-06</v>
      </c>
      <c r="G295" s="1" t="d">
        <v>2024-07-15</v>
      </c>
      <c r="H295" t="str">
        <f>VLOOKUP(D295,Table2[],3,FALSE)</f>
        <v>S&amp;D</v>
      </c>
    </row>
    <row r="296" spans="1:8" x14ac:dyDescent="0.2">
      <c r="A296">
        <v>234344</v>
      </c>
      <c r="B296" t="s">
        <v>376</v>
      </c>
      <c r="C296" t="s">
        <v>23</v>
      </c>
      <c r="D296" t="s">
        <v>66</v>
      </c>
      <c r="E296" t="s">
        <v>11</v>
      </c>
      <c r="F296" s="1" t="d">
        <v>2022-05-20</v>
      </c>
      <c r="G296" s="1" t="d">
        <v>2024-07-15</v>
      </c>
      <c r="H296" t="str">
        <f>VLOOKUP(D296,Table2[],3,FALSE)</f>
        <v>Renew Europe</v>
      </c>
    </row>
    <row r="297" spans="1:8" x14ac:dyDescent="0.2">
      <c r="A297">
        <v>96750</v>
      </c>
      <c r="B297" t="s">
        <v>377</v>
      </c>
      <c r="C297" t="s">
        <v>23</v>
      </c>
      <c r="D297" t="s">
        <v>260</v>
      </c>
      <c r="E297" t="s">
        <v>11</v>
      </c>
      <c r="F297" s="1" t="d">
        <v>2009-07-14</v>
      </c>
      <c r="G297" s="1" t="d">
        <v>2014-06-30</v>
      </c>
      <c r="H297" t="str">
        <f>VLOOKUP(D297,Table2[],3,FALSE)</f>
        <v>Greens/EFA</v>
      </c>
    </row>
    <row r="298" spans="1:8" x14ac:dyDescent="0.2">
      <c r="A298">
        <v>247737</v>
      </c>
      <c r="B298" t="s">
        <v>378</v>
      </c>
      <c r="C298" t="s">
        <v>13</v>
      </c>
      <c r="D298" t="s">
        <v>10</v>
      </c>
      <c r="E298" t="s">
        <v>11</v>
      </c>
      <c r="F298" s="1" t="d">
        <v>2023-09-06</v>
      </c>
      <c r="G298" s="1" t="d">
        <v>2024-07-15</v>
      </c>
      <c r="H298" t="str">
        <f>VLOOKUP(D298,Table2[],3,FALSE)</f>
        <v>EPP</v>
      </c>
    </row>
    <row r="299" spans="1:8" x14ac:dyDescent="0.2">
      <c r="A299">
        <v>197765</v>
      </c>
      <c r="B299" t="s">
        <v>379</v>
      </c>
      <c r="C299" t="s">
        <v>42</v>
      </c>
      <c r="D299" t="s">
        <v>10</v>
      </c>
      <c r="E299" t="s">
        <v>11</v>
      </c>
      <c r="F299" s="1" t="d">
        <v>2019-07-02</v>
      </c>
      <c r="G299" s="1" t="d">
        <v>2024-07-15</v>
      </c>
      <c r="H299" t="str">
        <f>VLOOKUP(D299,Table2[],3,FALSE)</f>
        <v>EPP</v>
      </c>
    </row>
    <row r="300" spans="1:8" x14ac:dyDescent="0.2">
      <c r="A300">
        <v>237465</v>
      </c>
      <c r="B300" t="s">
        <v>380</v>
      </c>
      <c r="C300" t="s">
        <v>20</v>
      </c>
      <c r="D300" t="s">
        <v>79</v>
      </c>
      <c r="E300" t="s">
        <v>11</v>
      </c>
      <c r="F300" s="1" t="d">
        <v>2022-10-03</v>
      </c>
      <c r="G300" s="1" t="d">
        <v>2024-07-15</v>
      </c>
      <c r="H300" t="str">
        <f>VLOOKUP(D300,Table2[],3,FALSE)</f>
        <v>S&amp;D</v>
      </c>
    </row>
    <row r="301" spans="1:8" x14ac:dyDescent="0.2">
      <c r="A301">
        <v>237224</v>
      </c>
      <c r="B301" t="s">
        <v>381</v>
      </c>
      <c r="C301" t="s">
        <v>71</v>
      </c>
      <c r="D301" t="s">
        <v>79</v>
      </c>
      <c r="E301" t="s">
        <v>11</v>
      </c>
      <c r="F301" s="1" t="d">
        <v>2022-09-13</v>
      </c>
      <c r="G301" s="1" t="d">
        <v>2024-07-15</v>
      </c>
      <c r="H301" t="str">
        <f>VLOOKUP(D301,Table2[],3,FALSE)</f>
        <v>S&amp;D</v>
      </c>
    </row>
    <row r="302" spans="1:8" x14ac:dyDescent="0.2">
      <c r="A302">
        <v>197828</v>
      </c>
      <c r="B302" t="s">
        <v>382</v>
      </c>
      <c r="C302" t="s">
        <v>13</v>
      </c>
      <c r="D302" t="s">
        <v>38</v>
      </c>
      <c r="E302" t="s">
        <v>11</v>
      </c>
      <c r="F302" s="1" t="d">
        <v>2019-07-02</v>
      </c>
      <c r="G302" s="1" t="d">
        <v>2020-12-17</v>
      </c>
      <c r="H302" t="str">
        <f>VLOOKUP(D302,Table2[],3,FALSE)</f>
        <v>The Left</v>
      </c>
    </row>
    <row r="303" spans="1:8" x14ac:dyDescent="0.2">
      <c r="A303">
        <v>197580</v>
      </c>
      <c r="B303" t="s">
        <v>383</v>
      </c>
      <c r="C303" t="s">
        <v>54</v>
      </c>
      <c r="D303" t="s">
        <v>40</v>
      </c>
      <c r="E303" t="s">
        <v>11</v>
      </c>
      <c r="F303" s="1" t="d">
        <v>2024-07-16</v>
      </c>
      <c r="H303" t="str">
        <f>VLOOKUP(D303,Table2[],3,FALSE)</f>
        <v>PfE</v>
      </c>
    </row>
    <row r="304" spans="1:8" x14ac:dyDescent="0.2">
      <c r="A304">
        <v>28586</v>
      </c>
      <c r="B304" t="s">
        <v>384</v>
      </c>
      <c r="C304" t="s">
        <v>106</v>
      </c>
      <c r="D304" t="s">
        <v>57</v>
      </c>
      <c r="E304" t="s">
        <v>18</v>
      </c>
      <c r="F304" s="1" t="d">
        <v>2017-01-12</v>
      </c>
      <c r="G304" s="1" t="d">
        <v>2019-07-01</v>
      </c>
      <c r="H304" t="str">
        <f>VLOOKUP(D304,Table2[],3,FALSE)</f>
        <v>The Left</v>
      </c>
    </row>
    <row r="305" spans="1:8" x14ac:dyDescent="0.2">
      <c r="A305">
        <v>28288</v>
      </c>
      <c r="B305" t="s">
        <v>385</v>
      </c>
      <c r="C305" t="s">
        <v>68</v>
      </c>
      <c r="D305" t="s">
        <v>10</v>
      </c>
      <c r="E305" t="s">
        <v>31</v>
      </c>
      <c r="F305" s="1" t="d">
        <v>2019-09-17</v>
      </c>
      <c r="G305" s="1" t="d">
        <v>2024-07-15</v>
      </c>
      <c r="H305" t="str">
        <f>VLOOKUP(D305,Table2[],3,FALSE)</f>
        <v>EPP</v>
      </c>
    </row>
    <row r="306" spans="1:8" x14ac:dyDescent="0.2">
      <c r="A306">
        <v>197496</v>
      </c>
      <c r="B306" t="s">
        <v>386</v>
      </c>
      <c r="C306" t="s">
        <v>68</v>
      </c>
      <c r="D306" t="s">
        <v>79</v>
      </c>
      <c r="E306" t="s">
        <v>11</v>
      </c>
      <c r="F306" s="1" t="d">
        <v>2019-07-02</v>
      </c>
      <c r="G306" s="1" t="d">
        <v>2021-12-15</v>
      </c>
      <c r="H306" t="str">
        <f>VLOOKUP(D306,Table2[],3,FALSE)</f>
        <v>S&amp;D</v>
      </c>
    </row>
    <row r="307" spans="1:8" x14ac:dyDescent="0.2">
      <c r="A307">
        <v>197448</v>
      </c>
      <c r="B307" t="s">
        <v>387</v>
      </c>
      <c r="C307" t="s">
        <v>20</v>
      </c>
      <c r="D307" t="s">
        <v>28</v>
      </c>
      <c r="E307" t="s">
        <v>11</v>
      </c>
      <c r="F307" s="1" t="d">
        <v>2019-07-02</v>
      </c>
      <c r="G307" s="1" t="d">
        <v>2024-07-15</v>
      </c>
      <c r="H307" t="str">
        <f>VLOOKUP(D307,Table2[],3,FALSE)</f>
        <v>Greens/EFA</v>
      </c>
    </row>
    <row r="308" spans="1:8" x14ac:dyDescent="0.2">
      <c r="A308">
        <v>96991</v>
      </c>
      <c r="B308" t="s">
        <v>388</v>
      </c>
      <c r="C308" t="s">
        <v>13</v>
      </c>
      <c r="D308" t="s">
        <v>170</v>
      </c>
      <c r="E308" t="s">
        <v>11</v>
      </c>
      <c r="F308" s="1" t="d">
        <v>2009-07-14</v>
      </c>
      <c r="G308" s="1" t="d">
        <v>2014-06-30</v>
      </c>
      <c r="H308" t="str">
        <f>VLOOKUP(D308,Table2[],3,FALSE)</f>
        <v>S&amp;D</v>
      </c>
    </row>
    <row r="309" spans="1:8" x14ac:dyDescent="0.2">
      <c r="A309">
        <v>197772</v>
      </c>
      <c r="B309" t="s">
        <v>389</v>
      </c>
      <c r="C309" t="s">
        <v>16</v>
      </c>
      <c r="D309" t="s">
        <v>51</v>
      </c>
      <c r="E309" t="s">
        <v>11</v>
      </c>
      <c r="F309" s="1" t="d">
        <v>2024-07-16</v>
      </c>
      <c r="H309" t="str">
        <f>VLOOKUP(D309,Table2[],3,FALSE)</f>
        <v>Greens/EFA</v>
      </c>
    </row>
    <row r="310" spans="1:8" x14ac:dyDescent="0.2">
      <c r="A310">
        <v>124715</v>
      </c>
      <c r="B310" t="s">
        <v>390</v>
      </c>
      <c r="C310" t="s">
        <v>73</v>
      </c>
      <c r="D310" t="s">
        <v>10</v>
      </c>
      <c r="E310" t="s">
        <v>11</v>
      </c>
      <c r="F310" s="1" t="d">
        <v>2019-07-02</v>
      </c>
      <c r="G310" s="1" t="d">
        <v>2024-07-15</v>
      </c>
      <c r="H310" t="str">
        <f>VLOOKUP(D310,Table2[],3,FALSE)</f>
        <v>EPP</v>
      </c>
    </row>
    <row r="311" spans="1:8" x14ac:dyDescent="0.2">
      <c r="A311">
        <v>197433</v>
      </c>
      <c r="B311" t="s">
        <v>391</v>
      </c>
      <c r="C311" t="s">
        <v>20</v>
      </c>
      <c r="D311" t="s">
        <v>79</v>
      </c>
      <c r="E311" t="s">
        <v>11</v>
      </c>
      <c r="F311" s="1" t="d">
        <v>2019-07-02</v>
      </c>
      <c r="G311" s="1" t="d">
        <v>2024-07-15</v>
      </c>
      <c r="H311" t="str">
        <f>VLOOKUP(D311,Table2[],3,FALSE)</f>
        <v>S&amp;D</v>
      </c>
    </row>
    <row r="312" spans="1:8" x14ac:dyDescent="0.2">
      <c r="A312">
        <v>197588</v>
      </c>
      <c r="B312" t="s">
        <v>392</v>
      </c>
      <c r="C312" t="s">
        <v>73</v>
      </c>
      <c r="D312" t="s">
        <v>66</v>
      </c>
      <c r="E312" t="s">
        <v>31</v>
      </c>
      <c r="F312" s="1" t="d">
        <v>2019-07-02</v>
      </c>
      <c r="G312" s="1" t="d">
        <v>2024-07-15</v>
      </c>
      <c r="H312" t="str">
        <f>VLOOKUP(D312,Table2[],3,FALSE)</f>
        <v>Renew Europe</v>
      </c>
    </row>
    <row r="313" spans="1:8" x14ac:dyDescent="0.2">
      <c r="A313">
        <v>218347</v>
      </c>
      <c r="B313" t="s">
        <v>393</v>
      </c>
      <c r="C313" t="s">
        <v>16</v>
      </c>
      <c r="D313" t="s">
        <v>79</v>
      </c>
      <c r="E313" t="s">
        <v>11</v>
      </c>
      <c r="F313" s="1" t="d">
        <v>2021-04-21</v>
      </c>
      <c r="G313" s="1" t="d">
        <v>2024-07-15</v>
      </c>
      <c r="H313" t="str">
        <f>VLOOKUP(D313,Table2[],3,FALSE)</f>
        <v>S&amp;D</v>
      </c>
    </row>
    <row r="314" spans="1:8" x14ac:dyDescent="0.2">
      <c r="A314">
        <v>197452</v>
      </c>
      <c r="B314" t="s">
        <v>394</v>
      </c>
      <c r="C314" t="s">
        <v>111</v>
      </c>
      <c r="D314" t="s">
        <v>66</v>
      </c>
      <c r="E314" t="s">
        <v>11</v>
      </c>
      <c r="F314" s="1" t="d">
        <v>2019-07-02</v>
      </c>
      <c r="G314" s="1" t="d">
        <v>2024-07-15</v>
      </c>
      <c r="H314" t="str">
        <f>VLOOKUP(D314,Table2[],3,FALSE)</f>
        <v>Renew Europe</v>
      </c>
    </row>
    <row r="315" spans="1:8" x14ac:dyDescent="0.2">
      <c r="A315">
        <v>96787</v>
      </c>
      <c r="B315" t="s">
        <v>395</v>
      </c>
      <c r="C315" t="s">
        <v>54</v>
      </c>
      <c r="D315" t="s">
        <v>10</v>
      </c>
      <c r="E315" t="s">
        <v>11</v>
      </c>
      <c r="F315" s="1" t="d">
        <v>2019-07-02</v>
      </c>
      <c r="G315" s="1" t="d">
        <v>2024-07-15</v>
      </c>
      <c r="H315" t="str">
        <f>VLOOKUP(D315,Table2[],3,FALSE)</f>
        <v>EPP</v>
      </c>
    </row>
    <row r="316" spans="1:8" x14ac:dyDescent="0.2">
      <c r="A316">
        <v>125045</v>
      </c>
      <c r="B316" t="s">
        <v>396</v>
      </c>
      <c r="C316" t="s">
        <v>13</v>
      </c>
      <c r="D316" t="s">
        <v>75</v>
      </c>
      <c r="E316" t="s">
        <v>11</v>
      </c>
      <c r="F316" s="1" t="d">
        <v>2014-07-01</v>
      </c>
      <c r="G316" s="1" t="d">
        <v>2019-07-01</v>
      </c>
      <c r="H316" t="str">
        <f>VLOOKUP(D316,Table2[],3,FALSE)</f>
        <v>S&amp;D</v>
      </c>
    </row>
    <row r="317" spans="1:8" x14ac:dyDescent="0.2">
      <c r="A317">
        <v>185619</v>
      </c>
      <c r="B317" t="s">
        <v>397</v>
      </c>
      <c r="C317" t="s">
        <v>20</v>
      </c>
      <c r="D317" t="s">
        <v>75</v>
      </c>
      <c r="E317" t="s">
        <v>11</v>
      </c>
      <c r="F317" s="1" t="d">
        <v>2016-11-14</v>
      </c>
      <c r="G317" s="1" t="d">
        <v>2019-07-01</v>
      </c>
      <c r="H317" t="str">
        <f>VLOOKUP(D317,Table2[],3,FALSE)</f>
        <v>S&amp;D</v>
      </c>
    </row>
    <row r="318" spans="1:8" x14ac:dyDescent="0.2">
      <c r="A318">
        <v>197848</v>
      </c>
      <c r="B318" t="s">
        <v>398</v>
      </c>
      <c r="C318" t="s">
        <v>77</v>
      </c>
      <c r="D318" t="s">
        <v>66</v>
      </c>
      <c r="E318" t="s">
        <v>11</v>
      </c>
      <c r="F318" s="1" t="d">
        <v>2019-07-02</v>
      </c>
      <c r="G318" s="1" t="d">
        <v>2024-06-18</v>
      </c>
      <c r="H318" t="str">
        <f>VLOOKUP(D318,Table2[],3,FALSE)</f>
        <v>Renew Europe</v>
      </c>
    </row>
    <row r="319" spans="1:8" x14ac:dyDescent="0.2">
      <c r="A319">
        <v>197754</v>
      </c>
      <c r="B319" t="s">
        <v>399</v>
      </c>
      <c r="C319" t="s">
        <v>71</v>
      </c>
      <c r="D319" t="s">
        <v>38</v>
      </c>
      <c r="E319" t="s">
        <v>11</v>
      </c>
      <c r="F319" s="1" t="d">
        <v>2019-07-02</v>
      </c>
      <c r="G319" s="1" t="d">
        <v>2020-12-17</v>
      </c>
      <c r="H319" t="str">
        <f>VLOOKUP(D319,Table2[],3,FALSE)</f>
        <v>The Left</v>
      </c>
    </row>
    <row r="320" spans="1:8" x14ac:dyDescent="0.2">
      <c r="A320">
        <v>199996</v>
      </c>
      <c r="B320" t="s">
        <v>400</v>
      </c>
      <c r="C320" t="s">
        <v>71</v>
      </c>
      <c r="D320" t="s">
        <v>79</v>
      </c>
      <c r="E320" t="s">
        <v>11</v>
      </c>
      <c r="F320" s="1" t="d">
        <v>2019-09-03</v>
      </c>
      <c r="G320" s="1" t="d">
        <v>2024-07-15</v>
      </c>
      <c r="H320" t="str">
        <f>VLOOKUP(D320,Table2[],3,FALSE)</f>
        <v>S&amp;D</v>
      </c>
    </row>
    <row r="321" spans="1:8" x14ac:dyDescent="0.2">
      <c r="A321">
        <v>197498</v>
      </c>
      <c r="B321" t="s">
        <v>401</v>
      </c>
      <c r="C321" t="s">
        <v>68</v>
      </c>
      <c r="D321" t="s">
        <v>79</v>
      </c>
      <c r="E321" t="s">
        <v>11</v>
      </c>
      <c r="F321" s="1" t="d">
        <v>2019-07-02</v>
      </c>
      <c r="G321" s="1" t="d">
        <v>2024-07-15</v>
      </c>
      <c r="H321" t="str">
        <f>VLOOKUP(D321,Table2[],3,FALSE)</f>
        <v>S&amp;D</v>
      </c>
    </row>
    <row r="322" spans="1:8" x14ac:dyDescent="0.2">
      <c r="A322">
        <v>197516</v>
      </c>
      <c r="B322" t="s">
        <v>402</v>
      </c>
      <c r="C322" t="s">
        <v>68</v>
      </c>
      <c r="D322" t="s">
        <v>117</v>
      </c>
      <c r="E322" t="s">
        <v>11</v>
      </c>
      <c r="F322" s="1" t="d">
        <v>2024-07-16</v>
      </c>
      <c r="G322" s="1" t="d">
        <v>2024-12-16</v>
      </c>
      <c r="H322" t="str">
        <f>VLOOKUP(D322,Table2[],3,FALSE)</f>
        <v>ECR</v>
      </c>
    </row>
    <row r="323" spans="1:8" x14ac:dyDescent="0.2">
      <c r="A323">
        <v>197415</v>
      </c>
      <c r="B323" t="s">
        <v>403</v>
      </c>
      <c r="C323" t="s">
        <v>316</v>
      </c>
      <c r="D323" t="s">
        <v>38</v>
      </c>
      <c r="E323" t="s">
        <v>11</v>
      </c>
      <c r="F323" s="1" t="d">
        <v>2019-07-02</v>
      </c>
      <c r="G323" s="1" t="d">
        <v>2020-12-17</v>
      </c>
      <c r="H323" t="str">
        <f>VLOOKUP(D323,Table2[],3,FALSE)</f>
        <v>The Left</v>
      </c>
    </row>
    <row r="324" spans="1:8" x14ac:dyDescent="0.2">
      <c r="A324">
        <v>197556</v>
      </c>
      <c r="B324" t="s">
        <v>404</v>
      </c>
      <c r="C324" t="s">
        <v>101</v>
      </c>
      <c r="D324" t="s">
        <v>344</v>
      </c>
      <c r="E324" t="s">
        <v>11</v>
      </c>
      <c r="F324" s="1" t="d">
        <v>2024-07-16</v>
      </c>
      <c r="H324" t="str">
        <f>VLOOKUP(D324,Table2[],3,FALSE)</f>
        <v>ESN</v>
      </c>
    </row>
    <row r="325" spans="1:8" x14ac:dyDescent="0.2">
      <c r="A325">
        <v>38511</v>
      </c>
      <c r="B325" t="s">
        <v>405</v>
      </c>
      <c r="C325" t="s">
        <v>47</v>
      </c>
      <c r="D325" t="s">
        <v>24</v>
      </c>
      <c r="E325" t="s">
        <v>11</v>
      </c>
      <c r="F325" s="1" t="d">
        <v>2019-07-02</v>
      </c>
      <c r="G325" s="1" t="d">
        <v>2024-07-15</v>
      </c>
      <c r="H325" t="str">
        <f>VLOOKUP(D325,Table2[],3,FALSE)</f>
        <v>ID</v>
      </c>
    </row>
    <row r="326" spans="1:8" x14ac:dyDescent="0.2">
      <c r="A326">
        <v>197786</v>
      </c>
      <c r="B326" t="s">
        <v>406</v>
      </c>
      <c r="C326" t="s">
        <v>54</v>
      </c>
      <c r="D326" t="s">
        <v>40</v>
      </c>
      <c r="E326" t="s">
        <v>11</v>
      </c>
      <c r="F326" s="1" t="d">
        <v>2024-07-16</v>
      </c>
      <c r="H326" t="str">
        <f>VLOOKUP(D326,Table2[],3,FALSE)</f>
        <v>PfE</v>
      </c>
    </row>
    <row r="327" spans="1:8" x14ac:dyDescent="0.2">
      <c r="A327">
        <v>197829</v>
      </c>
      <c r="B327" t="s">
        <v>407</v>
      </c>
      <c r="C327" t="s">
        <v>13</v>
      </c>
      <c r="D327" t="s">
        <v>40</v>
      </c>
      <c r="E327" t="s">
        <v>18</v>
      </c>
      <c r="F327" s="1" t="d">
        <v>2024-07-16</v>
      </c>
      <c r="H327" t="str">
        <f>VLOOKUP(D327,Table2[],3,FALSE)</f>
        <v>PfE</v>
      </c>
    </row>
    <row r="328" spans="1:8" x14ac:dyDescent="0.2">
      <c r="A328">
        <v>204421</v>
      </c>
      <c r="B328" t="s">
        <v>408</v>
      </c>
      <c r="C328" t="s">
        <v>23</v>
      </c>
      <c r="D328" t="s">
        <v>24</v>
      </c>
      <c r="E328" t="s">
        <v>11</v>
      </c>
      <c r="F328" s="1" t="d">
        <v>2020-02-01</v>
      </c>
      <c r="G328" s="1" t="d">
        <v>2024-07-15</v>
      </c>
      <c r="H328" t="str">
        <f>VLOOKUP(D328,Table2[],3,FALSE)</f>
        <v>ID</v>
      </c>
    </row>
    <row r="329" spans="1:8" x14ac:dyDescent="0.2">
      <c r="A329">
        <v>209091</v>
      </c>
      <c r="B329" t="s">
        <v>409</v>
      </c>
      <c r="C329" t="s">
        <v>9</v>
      </c>
      <c r="D329" t="s">
        <v>90</v>
      </c>
      <c r="E329" t="s">
        <v>11</v>
      </c>
      <c r="F329" s="1" t="d">
        <v>2020-11-05</v>
      </c>
      <c r="G329" s="1" t="d">
        <v>2020-11-10</v>
      </c>
      <c r="H329" t="str">
        <f>VLOOKUP(D329,Table2[],3,FALSE)</f>
        <v>EPP</v>
      </c>
    </row>
    <row r="330" spans="1:8" x14ac:dyDescent="0.2">
      <c r="A330">
        <v>197701</v>
      </c>
      <c r="B330" t="s">
        <v>410</v>
      </c>
      <c r="C330" t="s">
        <v>106</v>
      </c>
      <c r="D330" t="s">
        <v>38</v>
      </c>
      <c r="E330" t="s">
        <v>11</v>
      </c>
      <c r="F330" s="1" t="d">
        <v>2019-07-02</v>
      </c>
      <c r="G330" s="1" t="d">
        <v>2020-12-17</v>
      </c>
      <c r="H330" t="str">
        <f>VLOOKUP(D330,Table2[],3,FALSE)</f>
        <v>The Left</v>
      </c>
    </row>
    <row r="331" spans="1:8" x14ac:dyDescent="0.2">
      <c r="A331">
        <v>23816</v>
      </c>
      <c r="B331" t="s">
        <v>411</v>
      </c>
      <c r="C331" t="s">
        <v>73</v>
      </c>
      <c r="D331" t="s">
        <v>10</v>
      </c>
      <c r="E331" t="s">
        <v>11</v>
      </c>
      <c r="F331" s="1" t="d">
        <v>2019-07-02</v>
      </c>
      <c r="G331" s="1" t="d">
        <v>2021-03-04</v>
      </c>
      <c r="H331" t="str">
        <f>VLOOKUP(D331,Table2[],3,FALSE)</f>
        <v>EPP</v>
      </c>
    </row>
    <row r="332" spans="1:8" x14ac:dyDescent="0.2">
      <c r="A332">
        <v>197718</v>
      </c>
      <c r="B332" t="s">
        <v>412</v>
      </c>
      <c r="C332" t="s">
        <v>13</v>
      </c>
      <c r="D332" t="s">
        <v>79</v>
      </c>
      <c r="E332" t="s">
        <v>11</v>
      </c>
      <c r="F332" s="1" t="d">
        <v>2019-07-02</v>
      </c>
      <c r="G332" s="1" t="d">
        <v>2024-07-15</v>
      </c>
      <c r="H332" t="str">
        <f>VLOOKUP(D332,Table2[],3,FALSE)</f>
        <v>S&amp;D</v>
      </c>
    </row>
    <row r="333" spans="1:8" x14ac:dyDescent="0.2">
      <c r="A333">
        <v>125004</v>
      </c>
      <c r="B333" t="s">
        <v>413</v>
      </c>
      <c r="C333" t="s">
        <v>111</v>
      </c>
      <c r="D333" t="s">
        <v>10</v>
      </c>
      <c r="E333" t="s">
        <v>11</v>
      </c>
      <c r="F333" s="1" t="d">
        <v>2019-07-02</v>
      </c>
      <c r="G333" s="1" t="d">
        <v>2024-07-15</v>
      </c>
      <c r="H333" t="str">
        <f>VLOOKUP(D333,Table2[],3,FALSE)</f>
        <v>EPP</v>
      </c>
    </row>
    <row r="334" spans="1:8" x14ac:dyDescent="0.2">
      <c r="A334">
        <v>204414</v>
      </c>
      <c r="B334" t="s">
        <v>414</v>
      </c>
      <c r="C334" t="s">
        <v>13</v>
      </c>
      <c r="D334" t="s">
        <v>40</v>
      </c>
      <c r="E334" t="s">
        <v>11</v>
      </c>
      <c r="F334" s="1" t="d">
        <v>2024-07-16</v>
      </c>
      <c r="H334" t="str">
        <f>VLOOKUP(D334,Table2[],3,FALSE)</f>
        <v>PfE</v>
      </c>
    </row>
    <row r="335" spans="1:8" x14ac:dyDescent="0.2">
      <c r="A335">
        <v>28141</v>
      </c>
      <c r="B335" t="s">
        <v>415</v>
      </c>
      <c r="C335" t="s">
        <v>73</v>
      </c>
      <c r="D335" t="s">
        <v>10</v>
      </c>
      <c r="E335" t="s">
        <v>11</v>
      </c>
      <c r="F335" s="1" t="d">
        <v>2019-07-02</v>
      </c>
      <c r="G335" s="1" t="d">
        <v>2021-03-04</v>
      </c>
      <c r="H335" t="str">
        <f>VLOOKUP(D335,Table2[],3,FALSE)</f>
        <v>EPP</v>
      </c>
    </row>
    <row r="336" spans="1:8" x14ac:dyDescent="0.2">
      <c r="A336">
        <v>197391</v>
      </c>
      <c r="B336" t="s">
        <v>416</v>
      </c>
      <c r="C336" t="s">
        <v>50</v>
      </c>
      <c r="D336" t="s">
        <v>48</v>
      </c>
      <c r="E336" t="s">
        <v>31</v>
      </c>
      <c r="F336" s="1" t="d">
        <v>2024-07-16</v>
      </c>
      <c r="H336" t="str">
        <f>VLOOKUP(D336,Table2[],3,FALSE)</f>
        <v>S&amp;D</v>
      </c>
    </row>
    <row r="337" spans="1:8" x14ac:dyDescent="0.2">
      <c r="A337">
        <v>205452</v>
      </c>
      <c r="B337" t="s">
        <v>417</v>
      </c>
      <c r="C337" t="s">
        <v>64</v>
      </c>
      <c r="D337" t="s">
        <v>38</v>
      </c>
      <c r="E337" t="s">
        <v>11</v>
      </c>
      <c r="F337" s="1" t="d">
        <v>2020-03-09</v>
      </c>
      <c r="G337" s="1" t="d">
        <v>2020-12-17</v>
      </c>
      <c r="H337" t="str">
        <f>VLOOKUP(D337,Table2[],3,FALSE)</f>
        <v>The Left</v>
      </c>
    </row>
    <row r="338" spans="1:8" x14ac:dyDescent="0.2">
      <c r="A338">
        <v>197795</v>
      </c>
      <c r="B338" t="s">
        <v>418</v>
      </c>
      <c r="C338" t="s">
        <v>54</v>
      </c>
      <c r="D338" t="s">
        <v>136</v>
      </c>
      <c r="E338" t="s">
        <v>11</v>
      </c>
      <c r="F338" s="1" t="d">
        <v>2024-07-16</v>
      </c>
      <c r="H338" t="str">
        <f>VLOOKUP(D338,Table2[],3,FALSE)</f>
        <v>The Left</v>
      </c>
    </row>
    <row r="339" spans="1:8" x14ac:dyDescent="0.2">
      <c r="A339">
        <v>197582</v>
      </c>
      <c r="B339" t="s">
        <v>419</v>
      </c>
      <c r="C339" t="s">
        <v>54</v>
      </c>
      <c r="D339" t="s">
        <v>24</v>
      </c>
      <c r="E339" t="s">
        <v>11</v>
      </c>
      <c r="F339" s="1" t="d">
        <v>2019-07-02</v>
      </c>
      <c r="G339" s="1" t="d">
        <v>2024-07-15</v>
      </c>
      <c r="H339" t="str">
        <f>VLOOKUP(D339,Table2[],3,FALSE)</f>
        <v>ID</v>
      </c>
    </row>
    <row r="340" spans="1:8" x14ac:dyDescent="0.2">
      <c r="A340">
        <v>96681</v>
      </c>
      <c r="B340" t="s">
        <v>420</v>
      </c>
      <c r="C340" t="s">
        <v>161</v>
      </c>
      <c r="D340" t="s">
        <v>48</v>
      </c>
      <c r="E340" t="s">
        <v>11</v>
      </c>
      <c r="F340" s="1" t="d">
        <v>2024-07-16</v>
      </c>
      <c r="H340" t="str">
        <f>VLOOKUP(D340,Table2[],3,FALSE)</f>
        <v>S&amp;D</v>
      </c>
    </row>
    <row r="341" spans="1:8" x14ac:dyDescent="0.2">
      <c r="A341">
        <v>243979</v>
      </c>
      <c r="B341" t="s">
        <v>421</v>
      </c>
      <c r="C341" t="s">
        <v>54</v>
      </c>
      <c r="D341" t="s">
        <v>10</v>
      </c>
      <c r="E341" t="s">
        <v>11</v>
      </c>
      <c r="F341" s="1" t="d">
        <v>2023-04-20</v>
      </c>
      <c r="G341" s="1" t="d">
        <v>2024-07-15</v>
      </c>
      <c r="H341" t="str">
        <f>VLOOKUP(D341,Table2[],3,FALSE)</f>
        <v>EPP</v>
      </c>
    </row>
    <row r="342" spans="1:8" x14ac:dyDescent="0.2">
      <c r="A342">
        <v>197549</v>
      </c>
      <c r="B342" t="s">
        <v>422</v>
      </c>
      <c r="C342" t="s">
        <v>101</v>
      </c>
      <c r="D342" t="s">
        <v>51</v>
      </c>
      <c r="E342" t="s">
        <v>11</v>
      </c>
      <c r="F342" s="1" t="d">
        <v>2024-07-16</v>
      </c>
      <c r="H342" t="str">
        <f>VLOOKUP(D342,Table2[],3,FALSE)</f>
        <v>Greens/EFA</v>
      </c>
    </row>
    <row r="343" spans="1:8" x14ac:dyDescent="0.2">
      <c r="A343">
        <v>197459</v>
      </c>
      <c r="B343" t="s">
        <v>423</v>
      </c>
      <c r="C343" t="s">
        <v>20</v>
      </c>
      <c r="D343" t="s">
        <v>28</v>
      </c>
      <c r="E343" t="s">
        <v>11</v>
      </c>
      <c r="F343" s="1" t="d">
        <v>2019-07-02</v>
      </c>
      <c r="G343" s="1" t="d">
        <v>2024-07-15</v>
      </c>
      <c r="H343" t="str">
        <f>VLOOKUP(D343,Table2[],3,FALSE)</f>
        <v>Greens/EFA</v>
      </c>
    </row>
    <row r="344" spans="1:8" x14ac:dyDescent="0.2">
      <c r="A344">
        <v>124780</v>
      </c>
      <c r="B344" t="s">
        <v>424</v>
      </c>
      <c r="C344" t="s">
        <v>54</v>
      </c>
      <c r="D344" t="s">
        <v>287</v>
      </c>
      <c r="E344" t="s">
        <v>11</v>
      </c>
      <c r="F344" s="1" t="d">
        <v>2014-07-01</v>
      </c>
      <c r="G344" s="1" t="d">
        <v>2014-10-15</v>
      </c>
      <c r="H344" t="str">
        <f>VLOOKUP(D344,Table2[],3,FALSE)</f>
        <v>Non-attached</v>
      </c>
    </row>
    <row r="345" spans="1:8" x14ac:dyDescent="0.2">
      <c r="A345">
        <v>131580</v>
      </c>
      <c r="B345" t="s">
        <v>425</v>
      </c>
      <c r="C345" t="s">
        <v>23</v>
      </c>
      <c r="D345" t="s">
        <v>40</v>
      </c>
      <c r="E345" t="s">
        <v>202</v>
      </c>
      <c r="F345" s="1" t="d">
        <v>2024-07-16</v>
      </c>
      <c r="H345" t="str">
        <f>VLOOKUP(D345,Table2[],3,FALSE)</f>
        <v>PfE</v>
      </c>
    </row>
    <row r="346" spans="1:8" x14ac:dyDescent="0.2">
      <c r="A346">
        <v>2323</v>
      </c>
      <c r="B346" t="s">
        <v>426</v>
      </c>
      <c r="C346" t="s">
        <v>20</v>
      </c>
      <c r="D346" t="s">
        <v>107</v>
      </c>
      <c r="E346" t="s">
        <v>11</v>
      </c>
      <c r="F346" s="1" t="d">
        <v>2014-07-01</v>
      </c>
      <c r="G346" s="1" t="d">
        <v>2019-07-01</v>
      </c>
      <c r="H346" t="str">
        <f>VLOOKUP(D346,Table2[],3,FALSE)</f>
        <v>EPP</v>
      </c>
    </row>
    <row r="347" spans="1:8" x14ac:dyDescent="0.2">
      <c r="A347">
        <v>124992</v>
      </c>
      <c r="B347" t="s">
        <v>427</v>
      </c>
      <c r="C347" t="s">
        <v>50</v>
      </c>
      <c r="D347" t="s">
        <v>38</v>
      </c>
      <c r="E347" t="s">
        <v>11</v>
      </c>
      <c r="F347" s="1" t="d">
        <v>2019-07-02</v>
      </c>
      <c r="G347" s="1" t="d">
        <v>2020-12-17</v>
      </c>
      <c r="H347" t="str">
        <f>VLOOKUP(D347,Table2[],3,FALSE)</f>
        <v>The Left</v>
      </c>
    </row>
    <row r="348" spans="1:8" x14ac:dyDescent="0.2">
      <c r="A348">
        <v>239258</v>
      </c>
      <c r="B348" t="s">
        <v>428</v>
      </c>
      <c r="C348" t="s">
        <v>54</v>
      </c>
      <c r="D348" t="s">
        <v>90</v>
      </c>
      <c r="E348" t="s">
        <v>11</v>
      </c>
      <c r="F348" s="1" t="d">
        <v>2022-11-02</v>
      </c>
      <c r="G348" s="1" t="d">
        <v>2024-07-15</v>
      </c>
      <c r="H348" t="str">
        <f>VLOOKUP(D348,Table2[],3,FALSE)</f>
        <v>EPP</v>
      </c>
    </row>
    <row r="349" spans="1:8" x14ac:dyDescent="0.2">
      <c r="A349">
        <v>38398</v>
      </c>
      <c r="B349" t="s">
        <v>429</v>
      </c>
      <c r="C349" t="s">
        <v>16</v>
      </c>
      <c r="D349" t="s">
        <v>225</v>
      </c>
      <c r="E349" t="s">
        <v>11</v>
      </c>
      <c r="F349" s="1" t="d">
        <v>2007-04-12</v>
      </c>
      <c r="G349" s="1" t="d">
        <v>2009-07-13</v>
      </c>
      <c r="H349" t="str">
        <f>VLOOKUP(D349,Table2[],3,FALSE)</f>
        <v>EPP</v>
      </c>
    </row>
    <row r="350" spans="1:8" x14ac:dyDescent="0.2">
      <c r="A350">
        <v>197506</v>
      </c>
      <c r="B350" t="s">
        <v>430</v>
      </c>
      <c r="C350" t="s">
        <v>88</v>
      </c>
      <c r="D350" t="s">
        <v>28</v>
      </c>
      <c r="E350" t="s">
        <v>11</v>
      </c>
      <c r="F350" s="1" t="d">
        <v>2019-07-02</v>
      </c>
      <c r="G350" s="1" t="d">
        <v>2024-07-15</v>
      </c>
      <c r="H350" t="str">
        <f>VLOOKUP(D350,Table2[],3,FALSE)</f>
        <v>Greens/EFA</v>
      </c>
    </row>
    <row r="351" spans="1:8" x14ac:dyDescent="0.2">
      <c r="A351">
        <v>197449</v>
      </c>
      <c r="B351" t="s">
        <v>431</v>
      </c>
      <c r="C351" t="s">
        <v>20</v>
      </c>
      <c r="D351" t="s">
        <v>28</v>
      </c>
      <c r="E351" t="s">
        <v>11</v>
      </c>
      <c r="F351" s="1" t="d">
        <v>2019-07-02</v>
      </c>
      <c r="G351" s="1" t="d">
        <v>2024-07-15</v>
      </c>
      <c r="H351" t="str">
        <f>VLOOKUP(D351,Table2[],3,FALSE)</f>
        <v>Greens/EFA</v>
      </c>
    </row>
    <row r="352" spans="1:8" x14ac:dyDescent="0.2">
      <c r="A352">
        <v>197544</v>
      </c>
      <c r="B352" t="s">
        <v>432</v>
      </c>
      <c r="C352" t="s">
        <v>68</v>
      </c>
      <c r="D352" t="s">
        <v>35</v>
      </c>
      <c r="E352" t="s">
        <v>11</v>
      </c>
      <c r="F352" s="1" t="d">
        <v>2019-07-02</v>
      </c>
      <c r="G352" s="1" t="d">
        <v>2024-07-15</v>
      </c>
      <c r="H352" t="str">
        <f>VLOOKUP(D352,Table2[],3,FALSE)</f>
        <v>ECR</v>
      </c>
    </row>
    <row r="353" spans="1:8" x14ac:dyDescent="0.2">
      <c r="A353">
        <v>197419</v>
      </c>
      <c r="B353" t="s">
        <v>433</v>
      </c>
      <c r="C353" t="s">
        <v>155</v>
      </c>
      <c r="D353" t="s">
        <v>66</v>
      </c>
      <c r="E353" t="s">
        <v>11</v>
      </c>
      <c r="F353" s="1" t="d">
        <v>2019-07-02</v>
      </c>
      <c r="G353" s="1" t="d">
        <v>2024-07-15</v>
      </c>
      <c r="H353" t="str">
        <f>VLOOKUP(D353,Table2[],3,FALSE)</f>
        <v>Renew Europe</v>
      </c>
    </row>
    <row r="354" spans="1:8" x14ac:dyDescent="0.2">
      <c r="A354">
        <v>197721</v>
      </c>
      <c r="B354" t="s">
        <v>434</v>
      </c>
      <c r="C354" t="s">
        <v>13</v>
      </c>
      <c r="D354" t="s">
        <v>79</v>
      </c>
      <c r="E354" t="s">
        <v>11</v>
      </c>
      <c r="F354" s="1" t="d">
        <v>2019-07-02</v>
      </c>
      <c r="G354" s="1" t="d">
        <v>2024-07-15</v>
      </c>
      <c r="H354" t="str">
        <f>VLOOKUP(D354,Table2[],3,FALSE)</f>
        <v>S&amp;D</v>
      </c>
    </row>
    <row r="355" spans="1:8" x14ac:dyDescent="0.2">
      <c r="A355">
        <v>96852</v>
      </c>
      <c r="B355" t="s">
        <v>435</v>
      </c>
      <c r="C355" t="s">
        <v>20</v>
      </c>
      <c r="D355" t="s">
        <v>26</v>
      </c>
      <c r="E355" t="s">
        <v>11</v>
      </c>
      <c r="F355" s="1" t="d">
        <v>2020-12-18</v>
      </c>
      <c r="G355" s="1" t="d">
        <v>2024-07-15</v>
      </c>
      <c r="H355" t="str">
        <f>VLOOKUP(D355,Table2[],3,FALSE)</f>
        <v>The Left</v>
      </c>
    </row>
    <row r="356" spans="1:8" x14ac:dyDescent="0.2">
      <c r="A356">
        <v>197518</v>
      </c>
      <c r="B356" t="s">
        <v>436</v>
      </c>
      <c r="C356" t="s">
        <v>68</v>
      </c>
      <c r="D356" t="s">
        <v>35</v>
      </c>
      <c r="E356" t="s">
        <v>11</v>
      </c>
      <c r="F356" s="1" t="d">
        <v>2019-07-02</v>
      </c>
      <c r="G356" s="1" t="d">
        <v>2024-07-15</v>
      </c>
      <c r="H356" t="str">
        <f>VLOOKUP(D356,Table2[],3,FALSE)</f>
        <v>ECR</v>
      </c>
    </row>
    <row r="357" spans="1:8" x14ac:dyDescent="0.2">
      <c r="A357">
        <v>239256</v>
      </c>
      <c r="B357" t="s">
        <v>437</v>
      </c>
      <c r="C357" t="s">
        <v>54</v>
      </c>
      <c r="D357" t="s">
        <v>24</v>
      </c>
      <c r="E357" t="s">
        <v>11</v>
      </c>
      <c r="F357" s="1" t="d">
        <v>2022-11-02</v>
      </c>
      <c r="G357" s="1" t="d">
        <v>2024-07-15</v>
      </c>
      <c r="H357" t="str">
        <f>VLOOKUP(D357,Table2[],3,FALSE)</f>
        <v>ID</v>
      </c>
    </row>
    <row r="358" spans="1:8" x14ac:dyDescent="0.2">
      <c r="A358">
        <v>198096</v>
      </c>
      <c r="B358" t="s">
        <v>438</v>
      </c>
      <c r="C358" t="s">
        <v>13</v>
      </c>
      <c r="D358" t="s">
        <v>35</v>
      </c>
      <c r="E358" t="s">
        <v>18</v>
      </c>
      <c r="F358" s="1" t="d">
        <v>2019-07-02</v>
      </c>
      <c r="G358" s="1" t="d">
        <v>2020-03-03</v>
      </c>
      <c r="H358" t="str">
        <f>VLOOKUP(D358,Table2[],3,FALSE)</f>
        <v>ECR</v>
      </c>
    </row>
    <row r="359" spans="1:8" x14ac:dyDescent="0.2">
      <c r="A359">
        <v>197572</v>
      </c>
      <c r="B359" t="s">
        <v>439</v>
      </c>
      <c r="C359" t="s">
        <v>68</v>
      </c>
      <c r="D359" t="s">
        <v>117</v>
      </c>
      <c r="E359" t="s">
        <v>11</v>
      </c>
      <c r="F359" s="1" t="d">
        <v>2024-07-16</v>
      </c>
      <c r="H359" t="str">
        <f>VLOOKUP(D359,Table2[],3,FALSE)</f>
        <v>ECR</v>
      </c>
    </row>
    <row r="360" spans="1:8" x14ac:dyDescent="0.2">
      <c r="A360">
        <v>23784</v>
      </c>
      <c r="B360" t="s">
        <v>440</v>
      </c>
      <c r="C360" t="s">
        <v>68</v>
      </c>
      <c r="D360" t="s">
        <v>225</v>
      </c>
      <c r="E360" t="s">
        <v>18</v>
      </c>
      <c r="F360" s="1" t="d">
        <v>2004-11-14</v>
      </c>
      <c r="G360" s="1" t="d">
        <v>2005-12-12</v>
      </c>
      <c r="H360" t="str">
        <f>VLOOKUP(D360,Table2[],3,FALSE)</f>
        <v>EPP</v>
      </c>
    </row>
    <row r="361" spans="1:8" x14ac:dyDescent="0.2">
      <c r="A361">
        <v>197699</v>
      </c>
      <c r="B361" t="s">
        <v>441</v>
      </c>
      <c r="C361" t="s">
        <v>106</v>
      </c>
      <c r="D361" t="s">
        <v>38</v>
      </c>
      <c r="E361" t="s">
        <v>11</v>
      </c>
      <c r="F361" s="1" t="d">
        <v>2019-07-02</v>
      </c>
      <c r="G361" s="1" t="d">
        <v>2020-12-17</v>
      </c>
      <c r="H361" t="str">
        <f>VLOOKUP(D361,Table2[],3,FALSE)</f>
        <v>The Left</v>
      </c>
    </row>
    <row r="362" spans="1:8" x14ac:dyDescent="0.2">
      <c r="A362">
        <v>249603</v>
      </c>
      <c r="B362" t="s">
        <v>442</v>
      </c>
      <c r="C362" t="s">
        <v>211</v>
      </c>
      <c r="D362" t="s">
        <v>10</v>
      </c>
      <c r="E362" t="s">
        <v>11</v>
      </c>
      <c r="F362" s="1" t="d">
        <v>2023-10-24</v>
      </c>
      <c r="G362" s="1" t="d">
        <v>2024-07-15</v>
      </c>
      <c r="H362" t="str">
        <f>VLOOKUP(D362,Table2[],3,FALSE)</f>
        <v>EPP</v>
      </c>
    </row>
    <row r="363" spans="1:8" x14ac:dyDescent="0.2">
      <c r="A363">
        <v>197849</v>
      </c>
      <c r="B363" t="s">
        <v>443</v>
      </c>
      <c r="C363" t="s">
        <v>77</v>
      </c>
      <c r="D363" t="s">
        <v>35</v>
      </c>
      <c r="E363" t="s">
        <v>11</v>
      </c>
      <c r="F363" s="1" t="d">
        <v>2019-07-02</v>
      </c>
      <c r="G363" s="1" t="d">
        <v>2024-07-15</v>
      </c>
      <c r="H363" t="str">
        <f>VLOOKUP(D363,Table2[],3,FALSE)</f>
        <v>ECR</v>
      </c>
    </row>
    <row r="364" spans="1:8" x14ac:dyDescent="0.2">
      <c r="A364">
        <v>96952</v>
      </c>
      <c r="B364" t="s">
        <v>444</v>
      </c>
      <c r="C364" t="s">
        <v>23</v>
      </c>
      <c r="D364" t="s">
        <v>79</v>
      </c>
      <c r="E364" t="s">
        <v>11</v>
      </c>
      <c r="F364" s="1" t="d">
        <v>2019-07-02</v>
      </c>
      <c r="G364" s="1" t="d">
        <v>2024-07-15</v>
      </c>
      <c r="H364" t="str">
        <f>VLOOKUP(D364,Table2[],3,FALSE)</f>
        <v>S&amp;D</v>
      </c>
    </row>
    <row r="365" spans="1:8" x14ac:dyDescent="0.2">
      <c r="A365">
        <v>250235</v>
      </c>
      <c r="B365" t="s">
        <v>445</v>
      </c>
      <c r="C365" t="s">
        <v>68</v>
      </c>
      <c r="D365" t="s">
        <v>10</v>
      </c>
      <c r="E365" t="s">
        <v>11</v>
      </c>
      <c r="F365" s="1" t="d">
        <v>2023-11-16</v>
      </c>
      <c r="G365" s="1" t="d">
        <v>2024-07-15</v>
      </c>
      <c r="H365" t="str">
        <f>VLOOKUP(D365,Table2[],3,FALSE)</f>
        <v>EPP</v>
      </c>
    </row>
    <row r="366" spans="1:8" x14ac:dyDescent="0.2">
      <c r="A366">
        <v>197531</v>
      </c>
      <c r="B366" t="s">
        <v>446</v>
      </c>
      <c r="C366" t="s">
        <v>23</v>
      </c>
      <c r="D366" t="s">
        <v>28</v>
      </c>
      <c r="E366" t="s">
        <v>31</v>
      </c>
      <c r="F366" s="1" t="d">
        <v>2019-07-02</v>
      </c>
      <c r="G366" s="1" t="d">
        <v>2022-01-10</v>
      </c>
      <c r="H366" t="str">
        <f>VLOOKUP(D366,Table2[],3,FALSE)</f>
        <v>Greens/EFA</v>
      </c>
    </row>
    <row r="367" spans="1:8" x14ac:dyDescent="0.2">
      <c r="A367">
        <v>197447</v>
      </c>
      <c r="B367" t="s">
        <v>447</v>
      </c>
      <c r="C367" t="s">
        <v>111</v>
      </c>
      <c r="D367" t="s">
        <v>17</v>
      </c>
      <c r="E367" t="s">
        <v>18</v>
      </c>
      <c r="F367" s="1" t="d">
        <v>2024-07-16</v>
      </c>
      <c r="H367" t="str">
        <f>VLOOKUP(D367,Table2[],3,FALSE)</f>
        <v>Renew Europe</v>
      </c>
    </row>
    <row r="368" spans="1:8" x14ac:dyDescent="0.2">
      <c r="A368">
        <v>197743</v>
      </c>
      <c r="B368" t="s">
        <v>448</v>
      </c>
      <c r="C368" t="s">
        <v>106</v>
      </c>
      <c r="D368" t="s">
        <v>38</v>
      </c>
      <c r="E368" t="s">
        <v>11</v>
      </c>
      <c r="F368" s="1" t="d">
        <v>2019-07-02</v>
      </c>
      <c r="G368" s="1" t="d">
        <v>2020-12-17</v>
      </c>
      <c r="H368" t="str">
        <f>VLOOKUP(D368,Table2[],3,FALSE)</f>
        <v>The Left</v>
      </c>
    </row>
    <row r="369" spans="1:8" x14ac:dyDescent="0.2">
      <c r="A369">
        <v>197525</v>
      </c>
      <c r="B369" t="s">
        <v>449</v>
      </c>
      <c r="C369" t="s">
        <v>68</v>
      </c>
      <c r="D369" t="s">
        <v>10</v>
      </c>
      <c r="E369" t="s">
        <v>31</v>
      </c>
      <c r="F369" s="1" t="d">
        <v>2019-07-02</v>
      </c>
      <c r="G369" s="1" t="d">
        <v>2019-09-16</v>
      </c>
      <c r="H369" t="str">
        <f>VLOOKUP(D369,Table2[],3,FALSE)</f>
        <v>EPP</v>
      </c>
    </row>
    <row r="370" spans="1:8" x14ac:dyDescent="0.2">
      <c r="A370">
        <v>101585</v>
      </c>
      <c r="B370" t="s">
        <v>450</v>
      </c>
      <c r="C370" t="s">
        <v>61</v>
      </c>
      <c r="D370" t="s">
        <v>79</v>
      </c>
      <c r="E370" t="s">
        <v>11</v>
      </c>
      <c r="F370" s="1" t="d">
        <v>2019-07-02</v>
      </c>
      <c r="G370" s="1" t="d">
        <v>2024-07-15</v>
      </c>
      <c r="H370" t="str">
        <f>VLOOKUP(D370,Table2[],3,FALSE)</f>
        <v>S&amp;D</v>
      </c>
    </row>
    <row r="371" spans="1:8" x14ac:dyDescent="0.2">
      <c r="A371">
        <v>197845</v>
      </c>
      <c r="B371" t="s">
        <v>451</v>
      </c>
      <c r="C371" t="s">
        <v>77</v>
      </c>
      <c r="D371" t="s">
        <v>48</v>
      </c>
      <c r="E371" t="s">
        <v>11</v>
      </c>
      <c r="F371" s="1" t="d">
        <v>2024-07-16</v>
      </c>
      <c r="H371" t="str">
        <f>VLOOKUP(D371,Table2[],3,FALSE)</f>
        <v>S&amp;D</v>
      </c>
    </row>
    <row r="372" spans="1:8" x14ac:dyDescent="0.2">
      <c r="A372">
        <v>124831</v>
      </c>
      <c r="B372" t="s">
        <v>452</v>
      </c>
      <c r="C372" t="s">
        <v>54</v>
      </c>
      <c r="D372" t="s">
        <v>98</v>
      </c>
      <c r="E372" t="s">
        <v>11</v>
      </c>
      <c r="F372" s="1" t="d">
        <v>2014-10-20</v>
      </c>
      <c r="G372" s="1" t="d">
        <v>2019-07-01</v>
      </c>
      <c r="H372" t="str">
        <f>VLOOKUP(D372,Table2[],3,FALSE)</f>
        <v>Greens/EFA</v>
      </c>
    </row>
    <row r="373" spans="1:8" x14ac:dyDescent="0.2">
      <c r="A373">
        <v>122978</v>
      </c>
      <c r="B373" t="s">
        <v>453</v>
      </c>
      <c r="C373" t="s">
        <v>13</v>
      </c>
      <c r="D373" t="s">
        <v>48</v>
      </c>
      <c r="E373" t="s">
        <v>11</v>
      </c>
      <c r="F373" s="1" t="d">
        <v>2024-07-16</v>
      </c>
      <c r="H373" t="str">
        <f>VLOOKUP(D373,Table2[],3,FALSE)</f>
        <v>S&amp;D</v>
      </c>
    </row>
    <row r="374" spans="1:8" x14ac:dyDescent="0.2">
      <c r="A374">
        <v>237320</v>
      </c>
      <c r="B374" t="s">
        <v>454</v>
      </c>
      <c r="C374" t="s">
        <v>77</v>
      </c>
      <c r="D374" t="s">
        <v>66</v>
      </c>
      <c r="E374" t="s">
        <v>11</v>
      </c>
      <c r="F374" s="1" t="d">
        <v>2022-09-15</v>
      </c>
      <c r="G374" s="1" t="d">
        <v>2024-07-15</v>
      </c>
      <c r="H374" t="str">
        <f>VLOOKUP(D374,Table2[],3,FALSE)</f>
        <v>Renew Europe</v>
      </c>
    </row>
    <row r="375" spans="1:8" x14ac:dyDescent="0.2">
      <c r="A375">
        <v>4344</v>
      </c>
      <c r="B375" t="s">
        <v>455</v>
      </c>
      <c r="C375" t="s">
        <v>13</v>
      </c>
      <c r="D375" t="s">
        <v>66</v>
      </c>
      <c r="E375" t="s">
        <v>11</v>
      </c>
      <c r="F375" s="1" t="d">
        <v>2019-07-02</v>
      </c>
      <c r="G375" s="1" t="d">
        <v>2024-07-15</v>
      </c>
      <c r="H375" t="str">
        <f>VLOOKUP(D375,Table2[],3,FALSE)</f>
        <v>Renew Europe</v>
      </c>
    </row>
    <row r="376" spans="1:8" x14ac:dyDescent="0.2">
      <c r="A376">
        <v>197682</v>
      </c>
      <c r="B376" t="s">
        <v>456</v>
      </c>
      <c r="C376" t="s">
        <v>47</v>
      </c>
      <c r="D376" t="s">
        <v>79</v>
      </c>
      <c r="E376" t="s">
        <v>11</v>
      </c>
      <c r="F376" s="1" t="d">
        <v>2019-07-02</v>
      </c>
      <c r="G376" s="1" t="d">
        <v>2024-07-15</v>
      </c>
      <c r="H376" t="str">
        <f>VLOOKUP(D376,Table2[],3,FALSE)</f>
        <v>S&amp;D</v>
      </c>
    </row>
    <row r="377" spans="1:8" x14ac:dyDescent="0.2">
      <c r="A377">
        <v>197618</v>
      </c>
      <c r="B377" t="s">
        <v>457</v>
      </c>
      <c r="C377" t="s">
        <v>54</v>
      </c>
      <c r="D377" t="s">
        <v>79</v>
      </c>
      <c r="E377" t="s">
        <v>11</v>
      </c>
      <c r="F377" s="1" t="d">
        <v>2019-07-02</v>
      </c>
      <c r="G377" s="1" t="d">
        <v>2022-10-17</v>
      </c>
      <c r="H377" t="str">
        <f>VLOOKUP(D377,Table2[],3,FALSE)</f>
        <v>S&amp;D</v>
      </c>
    </row>
    <row r="378" spans="1:8" x14ac:dyDescent="0.2">
      <c r="A378">
        <v>198063</v>
      </c>
      <c r="B378" t="s">
        <v>458</v>
      </c>
      <c r="C378" t="s">
        <v>73</v>
      </c>
      <c r="D378" t="s">
        <v>90</v>
      </c>
      <c r="E378" t="s">
        <v>11</v>
      </c>
      <c r="F378" s="1" t="d">
        <v>2019-07-02</v>
      </c>
      <c r="G378" s="1" t="d">
        <v>2024-07-15</v>
      </c>
      <c r="H378" t="str">
        <f>VLOOKUP(D378,Table2[],3,FALSE)</f>
        <v>EPP</v>
      </c>
    </row>
    <row r="379" spans="1:8" x14ac:dyDescent="0.2">
      <c r="A379">
        <v>96932</v>
      </c>
      <c r="B379" t="s">
        <v>459</v>
      </c>
      <c r="C379" t="s">
        <v>20</v>
      </c>
      <c r="D379" t="s">
        <v>75</v>
      </c>
      <c r="E379" t="s">
        <v>11</v>
      </c>
      <c r="F379" s="1" t="d">
        <v>2014-07-01</v>
      </c>
      <c r="G379" s="1" t="d">
        <v>2019-07-01</v>
      </c>
      <c r="H379" t="str">
        <f>VLOOKUP(D379,Table2[],3,FALSE)</f>
        <v>S&amp;D</v>
      </c>
    </row>
    <row r="380" spans="1:8" x14ac:dyDescent="0.2">
      <c r="A380">
        <v>197534</v>
      </c>
      <c r="B380" t="s">
        <v>460</v>
      </c>
      <c r="C380" t="s">
        <v>23</v>
      </c>
      <c r="D380" t="s">
        <v>10</v>
      </c>
      <c r="E380" t="s">
        <v>11</v>
      </c>
      <c r="F380" s="1" t="d">
        <v>2019-07-02</v>
      </c>
      <c r="G380" s="1" t="d">
        <v>2024-07-15</v>
      </c>
      <c r="H380" t="str">
        <f>VLOOKUP(D380,Table2[],3,FALSE)</f>
        <v>EPP</v>
      </c>
    </row>
    <row r="381" spans="1:8" x14ac:dyDescent="0.2">
      <c r="A381">
        <v>197427</v>
      </c>
      <c r="B381" t="s">
        <v>461</v>
      </c>
      <c r="C381" t="s">
        <v>20</v>
      </c>
      <c r="D381" t="s">
        <v>10</v>
      </c>
      <c r="E381" t="s">
        <v>11</v>
      </c>
      <c r="F381" s="1" t="d">
        <v>2019-07-02</v>
      </c>
      <c r="G381" s="1" t="d">
        <v>2024-07-15</v>
      </c>
      <c r="H381" t="str">
        <f>VLOOKUP(D381,Table2[],3,FALSE)</f>
        <v>EPP</v>
      </c>
    </row>
    <row r="382" spans="1:8" x14ac:dyDescent="0.2">
      <c r="A382">
        <v>96761</v>
      </c>
      <c r="B382" t="s">
        <v>462</v>
      </c>
      <c r="C382" t="s">
        <v>20</v>
      </c>
      <c r="D382" t="s">
        <v>33</v>
      </c>
      <c r="E382" t="s">
        <v>11</v>
      </c>
      <c r="F382" s="1" t="d">
        <v>2009-07-14</v>
      </c>
      <c r="G382" s="1" t="d">
        <v>2014-06-30</v>
      </c>
      <c r="H382" t="str">
        <f>VLOOKUP(D382,Table2[],3,FALSE)</f>
        <v>EPP</v>
      </c>
    </row>
    <row r="383" spans="1:8" x14ac:dyDescent="0.2">
      <c r="A383">
        <v>197863</v>
      </c>
      <c r="B383" t="s">
        <v>463</v>
      </c>
      <c r="C383" t="s">
        <v>64</v>
      </c>
      <c r="D383" t="s">
        <v>10</v>
      </c>
      <c r="E383" t="s">
        <v>11</v>
      </c>
      <c r="F383" s="1" t="d">
        <v>2019-07-02</v>
      </c>
      <c r="G383" s="1" t="d">
        <v>2024-07-15</v>
      </c>
      <c r="H383" t="str">
        <f>VLOOKUP(D383,Table2[],3,FALSE)</f>
        <v>EPP</v>
      </c>
    </row>
    <row r="384" spans="1:8" x14ac:dyDescent="0.2">
      <c r="A384">
        <v>197738</v>
      </c>
      <c r="B384" t="s">
        <v>464</v>
      </c>
      <c r="C384" t="s">
        <v>71</v>
      </c>
      <c r="D384" t="s">
        <v>30</v>
      </c>
      <c r="E384" t="s">
        <v>31</v>
      </c>
      <c r="F384" s="1" t="d">
        <v>2024-07-16</v>
      </c>
      <c r="H384" t="str">
        <f>VLOOKUP(D384,Table2[],3,FALSE)</f>
        <v>EPP</v>
      </c>
    </row>
    <row r="385" spans="1:8" x14ac:dyDescent="0.2">
      <c r="A385">
        <v>197782</v>
      </c>
      <c r="B385" t="s">
        <v>465</v>
      </c>
      <c r="C385" t="s">
        <v>16</v>
      </c>
      <c r="D385" t="s">
        <v>79</v>
      </c>
      <c r="E385" t="s">
        <v>31</v>
      </c>
      <c r="F385" s="1" t="d">
        <v>2021-12-16</v>
      </c>
      <c r="G385" s="1" t="d">
        <v>2024-07-15</v>
      </c>
      <c r="H385" t="str">
        <f>VLOOKUP(D385,Table2[],3,FALSE)</f>
        <v>S&amp;D</v>
      </c>
    </row>
    <row r="386" spans="1:8" x14ac:dyDescent="0.2">
      <c r="A386">
        <v>125012</v>
      </c>
      <c r="B386" t="s">
        <v>466</v>
      </c>
      <c r="C386" t="s">
        <v>83</v>
      </c>
      <c r="D386" t="s">
        <v>107</v>
      </c>
      <c r="E386" t="s">
        <v>11</v>
      </c>
      <c r="F386" s="1" t="d">
        <v>2014-07-01</v>
      </c>
      <c r="G386" s="1" t="d">
        <v>2019-07-01</v>
      </c>
      <c r="H386" t="str">
        <f>VLOOKUP(D386,Table2[],3,FALSE)</f>
        <v>EPP</v>
      </c>
    </row>
    <row r="387" spans="1:8" x14ac:dyDescent="0.2">
      <c r="A387">
        <v>96891</v>
      </c>
      <c r="B387" t="s">
        <v>467</v>
      </c>
      <c r="C387" t="s">
        <v>54</v>
      </c>
      <c r="D387" t="s">
        <v>79</v>
      </c>
      <c r="E387" t="s">
        <v>11</v>
      </c>
      <c r="F387" s="1" t="d">
        <v>2019-07-02</v>
      </c>
      <c r="G387" s="1" t="d">
        <v>2024-07-15</v>
      </c>
      <c r="H387" t="str">
        <f>VLOOKUP(D387,Table2[],3,FALSE)</f>
        <v>S&amp;D</v>
      </c>
    </row>
    <row r="388" spans="1:8" x14ac:dyDescent="0.2">
      <c r="A388">
        <v>197545</v>
      </c>
      <c r="B388" t="s">
        <v>468</v>
      </c>
      <c r="C388" t="s">
        <v>68</v>
      </c>
      <c r="D388" t="s">
        <v>117</v>
      </c>
      <c r="E388" t="s">
        <v>11</v>
      </c>
      <c r="F388" s="1" t="d">
        <v>2024-07-16</v>
      </c>
      <c r="G388" s="1" t="d">
        <v>2024-07-23</v>
      </c>
      <c r="H388" t="str">
        <f>VLOOKUP(D388,Table2[],3,FALSE)</f>
        <v>ECR</v>
      </c>
    </row>
    <row r="389" spans="1:8" x14ac:dyDescent="0.2">
      <c r="A389">
        <v>209140</v>
      </c>
      <c r="B389" t="s">
        <v>469</v>
      </c>
      <c r="C389" t="s">
        <v>83</v>
      </c>
      <c r="D389" t="s">
        <v>66</v>
      </c>
      <c r="E389" t="s">
        <v>11</v>
      </c>
      <c r="F389" s="1" t="d">
        <v>2020-11-10</v>
      </c>
      <c r="G389" s="1" t="d">
        <v>2024-07-15</v>
      </c>
      <c r="H389" t="str">
        <f>VLOOKUP(D389,Table2[],3,FALSE)</f>
        <v>Renew Europe</v>
      </c>
    </row>
    <row r="390" spans="1:8" x14ac:dyDescent="0.2">
      <c r="A390">
        <v>197490</v>
      </c>
      <c r="B390" t="s">
        <v>470</v>
      </c>
      <c r="C390" t="s">
        <v>68</v>
      </c>
      <c r="D390" t="s">
        <v>10</v>
      </c>
      <c r="E390" t="s">
        <v>11</v>
      </c>
      <c r="F390" s="1" t="d">
        <v>2019-07-02</v>
      </c>
      <c r="G390" s="1" t="d">
        <v>2024-07-15</v>
      </c>
      <c r="H390" t="str">
        <f>VLOOKUP(D390,Table2[],3,FALSE)</f>
        <v>EPP</v>
      </c>
    </row>
    <row r="391" spans="1:8" x14ac:dyDescent="0.2">
      <c r="A391">
        <v>197472</v>
      </c>
      <c r="B391" t="s">
        <v>471</v>
      </c>
      <c r="C391" t="s">
        <v>88</v>
      </c>
      <c r="D391" t="s">
        <v>24</v>
      </c>
      <c r="E391" t="s">
        <v>11</v>
      </c>
      <c r="F391" s="1" t="d">
        <v>2019-07-02</v>
      </c>
      <c r="G391" s="1" t="d">
        <v>2024-07-15</v>
      </c>
      <c r="H391" t="str">
        <f>VLOOKUP(D391,Table2[],3,FALSE)</f>
        <v>ID</v>
      </c>
    </row>
    <row r="392" spans="1:8" x14ac:dyDescent="0.2">
      <c r="A392">
        <v>197425</v>
      </c>
      <c r="B392" t="s">
        <v>472</v>
      </c>
      <c r="C392" t="s">
        <v>20</v>
      </c>
      <c r="D392" t="s">
        <v>30</v>
      </c>
      <c r="E392" t="s">
        <v>11</v>
      </c>
      <c r="F392" s="1" t="d">
        <v>2024-07-16</v>
      </c>
      <c r="H392" t="str">
        <f>VLOOKUP(D392,Table2[],3,FALSE)</f>
        <v>EPP</v>
      </c>
    </row>
    <row r="393" spans="1:8" x14ac:dyDescent="0.2">
      <c r="A393">
        <v>124710</v>
      </c>
      <c r="B393" t="s">
        <v>473</v>
      </c>
      <c r="C393" t="s">
        <v>101</v>
      </c>
      <c r="D393" t="s">
        <v>10</v>
      </c>
      <c r="E393" t="s">
        <v>11</v>
      </c>
      <c r="F393" s="1" t="d">
        <v>2019-07-02</v>
      </c>
      <c r="G393" s="1" t="d">
        <v>2024-07-15</v>
      </c>
      <c r="H393" t="str">
        <f>VLOOKUP(D393,Table2[],3,FALSE)</f>
        <v>EPP</v>
      </c>
    </row>
    <row r="394" spans="1:8" x14ac:dyDescent="0.2">
      <c r="A394">
        <v>204346</v>
      </c>
      <c r="B394" t="s">
        <v>474</v>
      </c>
      <c r="C394" t="s">
        <v>68</v>
      </c>
      <c r="D394" t="s">
        <v>117</v>
      </c>
      <c r="E394" t="s">
        <v>11</v>
      </c>
      <c r="F394" s="1" t="d">
        <v>2024-07-16</v>
      </c>
      <c r="H394" t="str">
        <f>VLOOKUP(D394,Table2[],3,FALSE)</f>
        <v>ECR</v>
      </c>
    </row>
    <row r="395" spans="1:8" x14ac:dyDescent="0.2">
      <c r="A395">
        <v>124714</v>
      </c>
      <c r="B395" t="s">
        <v>475</v>
      </c>
      <c r="C395" t="s">
        <v>73</v>
      </c>
      <c r="D395" t="s">
        <v>90</v>
      </c>
      <c r="E395" t="s">
        <v>11</v>
      </c>
      <c r="F395" s="1" t="d">
        <v>2021-03-05</v>
      </c>
      <c r="G395" s="1" t="d">
        <v>2024-07-15</v>
      </c>
      <c r="H395" t="str">
        <f>VLOOKUP(D395,Table2[],3,FALSE)</f>
        <v>EPP</v>
      </c>
    </row>
    <row r="396" spans="1:8" x14ac:dyDescent="0.2">
      <c r="A396">
        <v>197515</v>
      </c>
      <c r="B396" t="s">
        <v>476</v>
      </c>
      <c r="C396" t="s">
        <v>61</v>
      </c>
      <c r="D396" t="s">
        <v>10</v>
      </c>
      <c r="E396" t="s">
        <v>11</v>
      </c>
      <c r="F396" s="1" t="d">
        <v>2019-07-02</v>
      </c>
      <c r="G396" s="1" t="d">
        <v>2024-07-15</v>
      </c>
      <c r="H396" t="str">
        <f>VLOOKUP(D396,Table2[],3,FALSE)</f>
        <v>EPP</v>
      </c>
    </row>
    <row r="397" spans="1:8" x14ac:dyDescent="0.2">
      <c r="A397">
        <v>236050</v>
      </c>
      <c r="B397" t="s">
        <v>477</v>
      </c>
      <c r="C397" t="s">
        <v>23</v>
      </c>
      <c r="D397" t="s">
        <v>24</v>
      </c>
      <c r="E397" t="s">
        <v>11</v>
      </c>
      <c r="F397" s="1" t="d">
        <v>2022-07-29</v>
      </c>
      <c r="G397" s="1" t="d">
        <v>2024-07-15</v>
      </c>
      <c r="H397" t="str">
        <f>VLOOKUP(D397,Table2[],3,FALSE)</f>
        <v>ID</v>
      </c>
    </row>
    <row r="398" spans="1:8" x14ac:dyDescent="0.2">
      <c r="A398">
        <v>236053</v>
      </c>
      <c r="B398" t="s">
        <v>478</v>
      </c>
      <c r="C398" t="s">
        <v>23</v>
      </c>
      <c r="D398" t="s">
        <v>136</v>
      </c>
      <c r="E398" t="s">
        <v>18</v>
      </c>
      <c r="F398" s="1" t="d">
        <v>2024-07-18</v>
      </c>
      <c r="H398" t="str">
        <f>VLOOKUP(D398,Table2[],3,FALSE)</f>
        <v>The Left</v>
      </c>
    </row>
    <row r="399" spans="1:8" x14ac:dyDescent="0.2">
      <c r="A399">
        <v>243912</v>
      </c>
      <c r="B399" t="s">
        <v>479</v>
      </c>
      <c r="C399" t="s">
        <v>54</v>
      </c>
      <c r="D399" t="s">
        <v>24</v>
      </c>
      <c r="E399" t="s">
        <v>11</v>
      </c>
      <c r="F399" s="1" t="d">
        <v>2023-04-06</v>
      </c>
      <c r="G399" s="1" t="d">
        <v>2024-04-28</v>
      </c>
      <c r="H399" t="str">
        <f>VLOOKUP(D399,Table2[],3,FALSE)</f>
        <v>ID</v>
      </c>
    </row>
    <row r="400" spans="1:8" x14ac:dyDescent="0.2">
      <c r="A400">
        <v>197461</v>
      </c>
      <c r="B400" t="s">
        <v>480</v>
      </c>
      <c r="C400" t="s">
        <v>20</v>
      </c>
      <c r="D400" t="s">
        <v>51</v>
      </c>
      <c r="E400" t="s">
        <v>11</v>
      </c>
      <c r="F400" s="1" t="d">
        <v>2024-07-16</v>
      </c>
      <c r="H400" t="str">
        <f>VLOOKUP(D400,Table2[],3,FALSE)</f>
        <v>Greens/EFA</v>
      </c>
    </row>
    <row r="401" spans="1:8" x14ac:dyDescent="0.2">
      <c r="A401">
        <v>28229</v>
      </c>
      <c r="B401" t="s">
        <v>481</v>
      </c>
      <c r="C401" t="s">
        <v>20</v>
      </c>
      <c r="D401" t="s">
        <v>107</v>
      </c>
      <c r="E401" t="s">
        <v>202</v>
      </c>
      <c r="F401" s="1" t="d">
        <v>2014-07-01</v>
      </c>
      <c r="G401" s="1" t="d">
        <v>2019-07-01</v>
      </c>
      <c r="H401" t="str">
        <f>VLOOKUP(D401,Table2[],3,FALSE)</f>
        <v>EPP</v>
      </c>
    </row>
    <row r="402" spans="1:8" x14ac:dyDescent="0.2">
      <c r="A402">
        <v>197553</v>
      </c>
      <c r="B402" t="s">
        <v>482</v>
      </c>
      <c r="C402" t="s">
        <v>68</v>
      </c>
      <c r="D402" t="s">
        <v>35</v>
      </c>
      <c r="E402" t="s">
        <v>11</v>
      </c>
      <c r="F402" s="1" t="d">
        <v>2019-07-02</v>
      </c>
      <c r="G402" s="1" t="d">
        <v>2019-11-20</v>
      </c>
      <c r="H402" t="str">
        <f>VLOOKUP(D402,Table2[],3,FALSE)</f>
        <v>ECR</v>
      </c>
    </row>
    <row r="403" spans="1:8" x14ac:dyDescent="0.2">
      <c r="A403">
        <v>124877</v>
      </c>
      <c r="B403" t="s">
        <v>483</v>
      </c>
      <c r="C403" t="s">
        <v>68</v>
      </c>
      <c r="D403" t="s">
        <v>167</v>
      </c>
      <c r="E403" t="s">
        <v>11</v>
      </c>
      <c r="F403" s="1" t="d">
        <v>2014-07-01</v>
      </c>
      <c r="G403" s="1" t="d">
        <v>2019-07-01</v>
      </c>
      <c r="H403" t="str">
        <f>VLOOKUP(D403,Table2[],3,FALSE)</f>
        <v>ECR</v>
      </c>
    </row>
    <row r="404" spans="1:8" x14ac:dyDescent="0.2">
      <c r="A404">
        <v>197421</v>
      </c>
      <c r="B404" t="s">
        <v>484</v>
      </c>
      <c r="C404" t="s">
        <v>211</v>
      </c>
      <c r="D404" t="s">
        <v>10</v>
      </c>
      <c r="E404" t="s">
        <v>11</v>
      </c>
      <c r="F404" s="1" t="d">
        <v>2019-07-02</v>
      </c>
      <c r="G404" s="1" t="d">
        <v>2024-07-15</v>
      </c>
      <c r="H404" t="str">
        <f>VLOOKUP(D404,Table2[],3,FALSE)</f>
        <v>EPP</v>
      </c>
    </row>
    <row r="405" spans="1:8" x14ac:dyDescent="0.2">
      <c r="A405">
        <v>96933</v>
      </c>
      <c r="B405" t="s">
        <v>485</v>
      </c>
      <c r="C405" t="s">
        <v>111</v>
      </c>
      <c r="D405" t="s">
        <v>33</v>
      </c>
      <c r="E405" t="s">
        <v>18</v>
      </c>
      <c r="F405" s="1" t="d">
        <v>2009-07-14</v>
      </c>
      <c r="G405" s="1" t="d">
        <v>2014-06-30</v>
      </c>
      <c r="H405" t="str">
        <f>VLOOKUP(D405,Table2[],3,FALSE)</f>
        <v>EPP</v>
      </c>
    </row>
    <row r="406" spans="1:8" x14ac:dyDescent="0.2">
      <c r="A406">
        <v>197717</v>
      </c>
      <c r="B406" t="s">
        <v>486</v>
      </c>
      <c r="C406" t="s">
        <v>13</v>
      </c>
      <c r="D406" t="s">
        <v>79</v>
      </c>
      <c r="E406" t="s">
        <v>11</v>
      </c>
      <c r="F406" s="1" t="d">
        <v>2019-07-02</v>
      </c>
      <c r="G406" s="1" t="d">
        <v>2024-07-15</v>
      </c>
      <c r="H406" t="str">
        <f>VLOOKUP(D406,Table2[],3,FALSE)</f>
        <v>S&amp;D</v>
      </c>
    </row>
    <row r="407" spans="1:8" x14ac:dyDescent="0.2">
      <c r="A407">
        <v>28226</v>
      </c>
      <c r="B407" t="s">
        <v>487</v>
      </c>
      <c r="C407" t="s">
        <v>20</v>
      </c>
      <c r="D407" t="s">
        <v>33</v>
      </c>
      <c r="E407" t="s">
        <v>18</v>
      </c>
      <c r="F407" s="1" t="d">
        <v>2009-09-16</v>
      </c>
      <c r="G407" s="1" t="d">
        <v>2014-06-30</v>
      </c>
      <c r="H407" t="str">
        <f>VLOOKUP(D407,Table2[],3,FALSE)</f>
        <v>EPP</v>
      </c>
    </row>
    <row r="408" spans="1:8" x14ac:dyDescent="0.2">
      <c r="A408">
        <v>197390</v>
      </c>
      <c r="B408" t="s">
        <v>488</v>
      </c>
      <c r="C408" t="s">
        <v>50</v>
      </c>
      <c r="D408" t="s">
        <v>10</v>
      </c>
      <c r="E408" t="s">
        <v>11</v>
      </c>
      <c r="F408" s="1" t="d">
        <v>2019-07-02</v>
      </c>
      <c r="G408" s="1" t="d">
        <v>2024-07-15</v>
      </c>
      <c r="H408" t="str">
        <f>VLOOKUP(D408,Table2[],3,FALSE)</f>
        <v>EPP</v>
      </c>
    </row>
    <row r="409" spans="1:8" x14ac:dyDescent="0.2">
      <c r="A409">
        <v>197679</v>
      </c>
      <c r="B409" t="s">
        <v>489</v>
      </c>
      <c r="C409" t="s">
        <v>13</v>
      </c>
      <c r="D409" t="s">
        <v>30</v>
      </c>
      <c r="E409" t="s">
        <v>11</v>
      </c>
      <c r="F409" s="1" t="d">
        <v>2024-07-16</v>
      </c>
      <c r="H409" t="str">
        <f>VLOOKUP(D409,Table2[],3,FALSE)</f>
        <v>EPP</v>
      </c>
    </row>
    <row r="410" spans="1:8" x14ac:dyDescent="0.2">
      <c r="A410">
        <v>124862</v>
      </c>
      <c r="B410" t="s">
        <v>490</v>
      </c>
      <c r="C410" t="s">
        <v>20</v>
      </c>
      <c r="D410" t="s">
        <v>66</v>
      </c>
      <c r="E410" t="s">
        <v>11</v>
      </c>
      <c r="F410" s="1" t="d">
        <v>2019-07-02</v>
      </c>
      <c r="G410" s="1" t="d">
        <v>2024-07-15</v>
      </c>
      <c r="H410" t="str">
        <f>VLOOKUP(D410,Table2[],3,FALSE)</f>
        <v>Renew Europe</v>
      </c>
    </row>
    <row r="411" spans="1:8" x14ac:dyDescent="0.2">
      <c r="A411">
        <v>197512</v>
      </c>
      <c r="B411" t="s">
        <v>491</v>
      </c>
      <c r="C411" t="s">
        <v>23</v>
      </c>
      <c r="D411" t="s">
        <v>28</v>
      </c>
      <c r="E411" t="s">
        <v>11</v>
      </c>
      <c r="F411" s="1" t="d">
        <v>2019-07-02</v>
      </c>
      <c r="G411" s="1" t="d">
        <v>2024-07-15</v>
      </c>
      <c r="H411" t="str">
        <f>VLOOKUP(D411,Table2[],3,FALSE)</f>
        <v>Greens/EFA</v>
      </c>
    </row>
    <row r="412" spans="1:8" x14ac:dyDescent="0.2">
      <c r="A412">
        <v>197475</v>
      </c>
      <c r="B412" t="s">
        <v>492</v>
      </c>
      <c r="C412" t="s">
        <v>20</v>
      </c>
      <c r="D412" t="s">
        <v>90</v>
      </c>
      <c r="E412" t="s">
        <v>11</v>
      </c>
      <c r="F412" s="1" t="d">
        <v>2024-05-23</v>
      </c>
      <c r="G412" s="1" t="d">
        <v>2024-07-15</v>
      </c>
      <c r="H412" t="str">
        <f>VLOOKUP(D412,Table2[],3,FALSE)</f>
        <v>EPP</v>
      </c>
    </row>
    <row r="413" spans="1:8" x14ac:dyDescent="0.2">
      <c r="A413">
        <v>191693</v>
      </c>
      <c r="B413" t="s">
        <v>493</v>
      </c>
      <c r="C413" t="s">
        <v>37</v>
      </c>
      <c r="D413" t="s">
        <v>333</v>
      </c>
      <c r="E413" t="s">
        <v>11</v>
      </c>
      <c r="F413" s="1" t="d">
        <v>2018-03-01</v>
      </c>
      <c r="G413" s="1" t="d">
        <v>2019-07-01</v>
      </c>
      <c r="H413" t="str">
        <f>VLOOKUP(D413,Table2[],3,FALSE)</f>
        <v>Renew Europe</v>
      </c>
    </row>
    <row r="414" spans="1:8" x14ac:dyDescent="0.2">
      <c r="A414">
        <v>197631</v>
      </c>
      <c r="B414" t="s">
        <v>494</v>
      </c>
      <c r="C414" t="s">
        <v>83</v>
      </c>
      <c r="D414" t="s">
        <v>66</v>
      </c>
      <c r="E414" t="s">
        <v>202</v>
      </c>
      <c r="F414" s="1" t="d">
        <v>2019-07-02</v>
      </c>
      <c r="G414" s="1" t="d">
        <v>2021-10-18</v>
      </c>
      <c r="H414" t="str">
        <f>VLOOKUP(D414,Table2[],3,FALSE)</f>
        <v>Renew Europe</v>
      </c>
    </row>
    <row r="415" spans="1:8" x14ac:dyDescent="0.2">
      <c r="A415">
        <v>24594</v>
      </c>
      <c r="B415" t="s">
        <v>495</v>
      </c>
      <c r="C415" t="s">
        <v>23</v>
      </c>
      <c r="D415" t="s">
        <v>10</v>
      </c>
      <c r="E415" t="s">
        <v>11</v>
      </c>
      <c r="F415" s="1" t="d">
        <v>2019-07-02</v>
      </c>
      <c r="G415" s="1" t="d">
        <v>2024-07-15</v>
      </c>
      <c r="H415" t="str">
        <f>VLOOKUP(D415,Table2[],3,FALSE)</f>
        <v>EPP</v>
      </c>
    </row>
    <row r="416" spans="1:8" x14ac:dyDescent="0.2">
      <c r="A416">
        <v>22858</v>
      </c>
      <c r="B416" t="s">
        <v>496</v>
      </c>
      <c r="C416" t="s">
        <v>23</v>
      </c>
      <c r="D416" t="s">
        <v>497</v>
      </c>
      <c r="E416" t="s">
        <v>11</v>
      </c>
      <c r="F416" s="1" t="d">
        <v>2002-06-17</v>
      </c>
      <c r="G416" s="1" t="d">
        <v>2002-07-02</v>
      </c>
      <c r="H416" t="str">
        <f>VLOOKUP(D416,Table2[],3,FALSE)</f>
        <v>Renew Europe</v>
      </c>
    </row>
    <row r="417" spans="1:8" x14ac:dyDescent="0.2">
      <c r="A417">
        <v>197546</v>
      </c>
      <c r="B417" t="s">
        <v>498</v>
      </c>
      <c r="C417" t="s">
        <v>101</v>
      </c>
      <c r="D417" t="s">
        <v>28</v>
      </c>
      <c r="E417" t="s">
        <v>11</v>
      </c>
      <c r="F417" s="1" t="d">
        <v>2019-07-02</v>
      </c>
      <c r="G417" s="1" t="d">
        <v>2024-07-15</v>
      </c>
      <c r="H417" t="str">
        <f>VLOOKUP(D417,Table2[],3,FALSE)</f>
        <v>Greens/EFA</v>
      </c>
    </row>
    <row r="418" spans="1:8" x14ac:dyDescent="0.2">
      <c r="A418">
        <v>124872</v>
      </c>
      <c r="B418" t="s">
        <v>499</v>
      </c>
      <c r="C418" t="s">
        <v>61</v>
      </c>
      <c r="D418" t="s">
        <v>333</v>
      </c>
      <c r="E418" t="s">
        <v>11</v>
      </c>
      <c r="F418" s="1" t="d">
        <v>2014-07-01</v>
      </c>
      <c r="G418" s="1" t="d">
        <v>2019-07-01</v>
      </c>
      <c r="H418" t="str">
        <f>VLOOKUP(D418,Table2[],3,FALSE)</f>
        <v>Renew Europe</v>
      </c>
    </row>
    <row r="419" spans="1:8" x14ac:dyDescent="0.2">
      <c r="A419">
        <v>96867</v>
      </c>
      <c r="B419" t="s">
        <v>500</v>
      </c>
      <c r="C419" t="s">
        <v>71</v>
      </c>
      <c r="D419" t="s">
        <v>33</v>
      </c>
      <c r="E419" t="s">
        <v>11</v>
      </c>
      <c r="F419" s="1" t="d">
        <v>2009-07-14</v>
      </c>
      <c r="G419" s="1" t="d">
        <v>2014-04-30</v>
      </c>
      <c r="H419" t="str">
        <f>VLOOKUP(D419,Table2[],3,FALSE)</f>
        <v>EPP</v>
      </c>
    </row>
    <row r="420" spans="1:8" x14ac:dyDescent="0.2">
      <c r="A420">
        <v>182995</v>
      </c>
      <c r="B420" t="s">
        <v>501</v>
      </c>
      <c r="C420" t="s">
        <v>23</v>
      </c>
      <c r="D420" t="s">
        <v>24</v>
      </c>
      <c r="E420" t="s">
        <v>11</v>
      </c>
      <c r="F420" s="1" t="d">
        <v>2019-07-02</v>
      </c>
      <c r="G420" s="1" t="d">
        <v>2024-07-15</v>
      </c>
      <c r="H420" t="str">
        <f>VLOOKUP(D420,Table2[],3,FALSE)</f>
        <v>ID</v>
      </c>
    </row>
    <row r="421" spans="1:8" x14ac:dyDescent="0.2">
      <c r="A421">
        <v>197522</v>
      </c>
      <c r="B421" t="s">
        <v>502</v>
      </c>
      <c r="C421" t="s">
        <v>101</v>
      </c>
      <c r="D421" t="s">
        <v>79</v>
      </c>
      <c r="E421" t="s">
        <v>11</v>
      </c>
      <c r="F421" s="1" t="d">
        <v>2021-03-24</v>
      </c>
      <c r="G421" s="1" t="d">
        <v>2024-07-15</v>
      </c>
      <c r="H421" t="str">
        <f>VLOOKUP(D421,Table2[],3,FALSE)</f>
        <v>S&amp;D</v>
      </c>
    </row>
    <row r="422" spans="1:8" x14ac:dyDescent="0.2">
      <c r="A422">
        <v>125001</v>
      </c>
      <c r="B422" t="s">
        <v>503</v>
      </c>
      <c r="C422" t="s">
        <v>47</v>
      </c>
      <c r="D422" t="s">
        <v>239</v>
      </c>
      <c r="E422" t="s">
        <v>11</v>
      </c>
      <c r="F422" s="1" t="d">
        <v>2014-07-01</v>
      </c>
      <c r="G422" s="1" t="d">
        <v>2015-06-14</v>
      </c>
      <c r="H422" t="str">
        <f>VLOOKUP(D422,Table2[],3,FALSE)</f>
        <v>Non-attached</v>
      </c>
    </row>
    <row r="423" spans="1:8" x14ac:dyDescent="0.2">
      <c r="A423">
        <v>112611</v>
      </c>
      <c r="B423" t="s">
        <v>504</v>
      </c>
      <c r="C423" t="s">
        <v>37</v>
      </c>
      <c r="D423" t="s">
        <v>10</v>
      </c>
      <c r="E423" t="s">
        <v>11</v>
      </c>
      <c r="F423" s="1" t="d">
        <v>2019-07-02</v>
      </c>
      <c r="G423" s="1" t="d">
        <v>2024-05-31</v>
      </c>
      <c r="H423" t="str">
        <f>VLOOKUP(D423,Table2[],3,FALSE)</f>
        <v>EPP</v>
      </c>
    </row>
    <row r="424" spans="1:8" x14ac:dyDescent="0.2">
      <c r="A424">
        <v>197439</v>
      </c>
      <c r="B424" t="s">
        <v>505</v>
      </c>
      <c r="C424" t="s">
        <v>20</v>
      </c>
      <c r="D424" t="s">
        <v>51</v>
      </c>
      <c r="E424" t="s">
        <v>11</v>
      </c>
      <c r="F424" s="1" t="d">
        <v>2024-07-16</v>
      </c>
      <c r="H424" t="str">
        <f>VLOOKUP(D424,Table2[],3,FALSE)</f>
        <v>Greens/EFA</v>
      </c>
    </row>
    <row r="425" spans="1:8" x14ac:dyDescent="0.2">
      <c r="A425">
        <v>96826</v>
      </c>
      <c r="B425" t="s">
        <v>506</v>
      </c>
      <c r="C425" t="s">
        <v>73</v>
      </c>
      <c r="D425" t="s">
        <v>10</v>
      </c>
      <c r="E425" t="s">
        <v>11</v>
      </c>
      <c r="F425" s="1" t="d">
        <v>2019-07-02</v>
      </c>
      <c r="G425" s="1" t="d">
        <v>2021-03-04</v>
      </c>
      <c r="H425" t="str">
        <f>VLOOKUP(D425,Table2[],3,FALSE)</f>
        <v>EPP</v>
      </c>
    </row>
    <row r="426" spans="1:8" x14ac:dyDescent="0.2">
      <c r="A426">
        <v>125106</v>
      </c>
      <c r="B426" t="s">
        <v>507</v>
      </c>
      <c r="C426" t="s">
        <v>88</v>
      </c>
      <c r="D426" t="s">
        <v>35</v>
      </c>
      <c r="E426" t="s">
        <v>18</v>
      </c>
      <c r="F426" s="1" t="d">
        <v>2019-07-02</v>
      </c>
      <c r="G426" s="1" t="d">
        <v>2024-07-15</v>
      </c>
      <c r="H426" t="str">
        <f>VLOOKUP(D426,Table2[],3,FALSE)</f>
        <v>ECR</v>
      </c>
    </row>
    <row r="427" spans="1:8" x14ac:dyDescent="0.2">
      <c r="A427">
        <v>197502</v>
      </c>
      <c r="B427" t="s">
        <v>508</v>
      </c>
      <c r="C427" t="s">
        <v>23</v>
      </c>
      <c r="D427" t="s">
        <v>17</v>
      </c>
      <c r="E427" t="s">
        <v>18</v>
      </c>
      <c r="F427" s="1" t="d">
        <v>2024-07-16</v>
      </c>
      <c r="G427" s="1" t="d">
        <v>2025-10-11</v>
      </c>
      <c r="H427" t="str">
        <f>VLOOKUP(D427,Table2[],3,FALSE)</f>
        <v>Renew Europe</v>
      </c>
    </row>
    <row r="428" spans="1:8" x14ac:dyDescent="0.2">
      <c r="A428">
        <v>197418</v>
      </c>
      <c r="B428" t="s">
        <v>509</v>
      </c>
      <c r="C428" t="s">
        <v>211</v>
      </c>
      <c r="D428" t="s">
        <v>66</v>
      </c>
      <c r="E428" t="s">
        <v>11</v>
      </c>
      <c r="F428" s="1" t="d">
        <v>2019-07-02</v>
      </c>
      <c r="G428" s="1" t="d">
        <v>2024-07-15</v>
      </c>
      <c r="H428" t="str">
        <f>VLOOKUP(D428,Table2[],3,FALSE)</f>
        <v>Renew Europe</v>
      </c>
    </row>
    <row r="429" spans="1:8" x14ac:dyDescent="0.2">
      <c r="A429">
        <v>197505</v>
      </c>
      <c r="B429" t="s">
        <v>510</v>
      </c>
      <c r="C429" t="s">
        <v>23</v>
      </c>
      <c r="D429" t="s">
        <v>66</v>
      </c>
      <c r="E429" t="s">
        <v>11</v>
      </c>
      <c r="F429" s="1" t="d">
        <v>2019-07-02</v>
      </c>
      <c r="G429" s="1" t="d">
        <v>2024-07-15</v>
      </c>
      <c r="H429" t="str">
        <f>VLOOKUP(D429,Table2[],3,FALSE)</f>
        <v>Renew Europe</v>
      </c>
    </row>
    <row r="430" spans="1:8" x14ac:dyDescent="0.2">
      <c r="A430">
        <v>124808</v>
      </c>
      <c r="B430" t="s">
        <v>511</v>
      </c>
      <c r="C430" t="s">
        <v>20</v>
      </c>
      <c r="D430" t="s">
        <v>107</v>
      </c>
      <c r="E430" t="s">
        <v>11</v>
      </c>
      <c r="F430" s="1" t="d">
        <v>2014-07-01</v>
      </c>
      <c r="G430" s="1" t="d">
        <v>2019-07-01</v>
      </c>
      <c r="H430" t="str">
        <f>VLOOKUP(D430,Table2[],3,FALSE)</f>
        <v>EPP</v>
      </c>
    </row>
    <row r="431" spans="1:8" x14ac:dyDescent="0.2">
      <c r="A431">
        <v>197621</v>
      </c>
      <c r="B431" t="s">
        <v>512</v>
      </c>
      <c r="C431" t="s">
        <v>13</v>
      </c>
      <c r="D431" t="s">
        <v>30</v>
      </c>
      <c r="E431" t="s">
        <v>11</v>
      </c>
      <c r="F431" s="1" t="d">
        <v>2024-07-16</v>
      </c>
      <c r="H431" t="str">
        <f>VLOOKUP(D431,Table2[],3,FALSE)</f>
        <v>EPP</v>
      </c>
    </row>
    <row r="432" spans="1:8" x14ac:dyDescent="0.2">
      <c r="A432">
        <v>197558</v>
      </c>
      <c r="B432" t="s">
        <v>513</v>
      </c>
      <c r="C432" t="s">
        <v>61</v>
      </c>
      <c r="D432" t="s">
        <v>66</v>
      </c>
      <c r="E432" t="s">
        <v>11</v>
      </c>
      <c r="F432" s="1" t="d">
        <v>2019-07-02</v>
      </c>
      <c r="G432" s="1" t="d">
        <v>2024-07-15</v>
      </c>
      <c r="H432" t="str">
        <f>VLOOKUP(D432,Table2[],3,FALSE)</f>
        <v>Renew Europe</v>
      </c>
    </row>
    <row r="433" spans="1:8" x14ac:dyDescent="0.2">
      <c r="A433">
        <v>197432</v>
      </c>
      <c r="B433" t="s">
        <v>514</v>
      </c>
      <c r="C433" t="s">
        <v>20</v>
      </c>
      <c r="D433" t="s">
        <v>17</v>
      </c>
      <c r="E433" t="s">
        <v>11</v>
      </c>
      <c r="F433" s="1" t="d">
        <v>2024-07-16</v>
      </c>
      <c r="H433" t="str">
        <f>VLOOKUP(D433,Table2[],3,FALSE)</f>
        <v>Renew Europe</v>
      </c>
    </row>
    <row r="434" spans="1:8" x14ac:dyDescent="0.2">
      <c r="A434">
        <v>249285</v>
      </c>
      <c r="B434" t="s">
        <v>515</v>
      </c>
      <c r="C434" t="s">
        <v>23</v>
      </c>
      <c r="D434" t="s">
        <v>28</v>
      </c>
      <c r="E434" t="s">
        <v>11</v>
      </c>
      <c r="F434" s="1" t="d">
        <v>2023-09-24</v>
      </c>
      <c r="G434" s="1" t="d">
        <v>2024-07-15</v>
      </c>
      <c r="H434" t="str">
        <f>VLOOKUP(D434,Table2[],3,FALSE)</f>
        <v>Greens/EFA</v>
      </c>
    </row>
    <row r="435" spans="1:8" x14ac:dyDescent="0.2">
      <c r="A435">
        <v>204443</v>
      </c>
      <c r="B435" t="s">
        <v>516</v>
      </c>
      <c r="C435" t="s">
        <v>13</v>
      </c>
      <c r="D435" t="s">
        <v>90</v>
      </c>
      <c r="E435" t="s">
        <v>11</v>
      </c>
      <c r="F435" s="1" t="d">
        <v>2020-02-01</v>
      </c>
      <c r="G435" s="1" t="d">
        <v>2024-07-15</v>
      </c>
      <c r="H435" t="str">
        <f>VLOOKUP(D435,Table2[],3,FALSE)</f>
        <v>EPP</v>
      </c>
    </row>
    <row r="436" spans="1:8" x14ac:dyDescent="0.2">
      <c r="A436">
        <v>197822</v>
      </c>
      <c r="B436" t="s">
        <v>517</v>
      </c>
      <c r="C436" t="s">
        <v>54</v>
      </c>
      <c r="D436" t="s">
        <v>90</v>
      </c>
      <c r="E436" t="s">
        <v>11</v>
      </c>
      <c r="F436" s="1" t="d">
        <v>2021-10-06</v>
      </c>
      <c r="G436" s="1" t="d">
        <v>2024-07-15</v>
      </c>
      <c r="H436" t="str">
        <f>VLOOKUP(D436,Table2[],3,FALSE)</f>
        <v>EPP</v>
      </c>
    </row>
    <row r="437" spans="1:8" x14ac:dyDescent="0.2">
      <c r="A437">
        <v>197596</v>
      </c>
      <c r="B437" t="s">
        <v>518</v>
      </c>
      <c r="C437" t="s">
        <v>37</v>
      </c>
      <c r="D437" t="s">
        <v>24</v>
      </c>
      <c r="E437" t="s">
        <v>11</v>
      </c>
      <c r="F437" s="1" t="d">
        <v>2019-07-02</v>
      </c>
      <c r="G437" s="1" t="d">
        <v>2023-04-04</v>
      </c>
      <c r="H437" t="str">
        <f>VLOOKUP(D437,Table2[],3,FALSE)</f>
        <v>ID</v>
      </c>
    </row>
    <row r="438" spans="1:8" x14ac:dyDescent="0.2">
      <c r="A438">
        <v>40599</v>
      </c>
      <c r="B438" t="s">
        <v>519</v>
      </c>
      <c r="C438" t="s">
        <v>37</v>
      </c>
      <c r="D438" t="s">
        <v>10</v>
      </c>
      <c r="E438" t="s">
        <v>11</v>
      </c>
      <c r="F438" s="1" t="d">
        <v>2019-07-02</v>
      </c>
      <c r="G438" s="1" t="d">
        <v>2024-07-15</v>
      </c>
      <c r="H438" t="str">
        <f>VLOOKUP(D438,Table2[],3,FALSE)</f>
        <v>EPP</v>
      </c>
    </row>
    <row r="439" spans="1:8" x14ac:dyDescent="0.2">
      <c r="A439">
        <v>125068</v>
      </c>
      <c r="B439" t="s">
        <v>520</v>
      </c>
      <c r="C439" t="s">
        <v>106</v>
      </c>
      <c r="D439" t="s">
        <v>10</v>
      </c>
      <c r="E439" t="s">
        <v>11</v>
      </c>
      <c r="F439" s="1" t="d">
        <v>2019-07-02</v>
      </c>
      <c r="G439" s="1" t="d">
        <v>2024-07-15</v>
      </c>
      <c r="H439" t="str">
        <f>VLOOKUP(D439,Table2[],3,FALSE)</f>
        <v>EPP</v>
      </c>
    </row>
    <row r="440" spans="1:8" x14ac:dyDescent="0.2">
      <c r="A440">
        <v>97968</v>
      </c>
      <c r="B440" t="s">
        <v>521</v>
      </c>
      <c r="C440" t="s">
        <v>77</v>
      </c>
      <c r="D440" t="s">
        <v>10</v>
      </c>
      <c r="E440" t="s">
        <v>31</v>
      </c>
      <c r="F440" s="1" t="d">
        <v>2019-07-02</v>
      </c>
      <c r="G440" s="1" t="d">
        <v>2022-01-24</v>
      </c>
      <c r="H440" t="str">
        <f>VLOOKUP(D440,Table2[],3,FALSE)</f>
        <v>EPP</v>
      </c>
    </row>
    <row r="441" spans="1:8" x14ac:dyDescent="0.2">
      <c r="A441">
        <v>197629</v>
      </c>
      <c r="B441" t="s">
        <v>522</v>
      </c>
      <c r="C441" t="s">
        <v>23</v>
      </c>
      <c r="D441" t="s">
        <v>90</v>
      </c>
      <c r="E441" t="s">
        <v>11</v>
      </c>
      <c r="F441" s="1" t="d">
        <v>2022-02-02</v>
      </c>
      <c r="G441" s="1" t="d">
        <v>2024-07-15</v>
      </c>
      <c r="H441" t="str">
        <f>VLOOKUP(D441,Table2[],3,FALSE)</f>
        <v>EPP</v>
      </c>
    </row>
    <row r="442" spans="1:8" x14ac:dyDescent="0.2">
      <c r="A442">
        <v>197769</v>
      </c>
      <c r="B442" t="s">
        <v>523</v>
      </c>
      <c r="C442" t="s">
        <v>42</v>
      </c>
      <c r="D442" t="s">
        <v>66</v>
      </c>
      <c r="E442" t="s">
        <v>11</v>
      </c>
      <c r="F442" s="1" t="d">
        <v>2021-12-08</v>
      </c>
      <c r="G442" s="1" t="d">
        <v>2024-07-15</v>
      </c>
      <c r="H442" t="str">
        <f>VLOOKUP(D442,Table2[],3,FALSE)</f>
        <v>Renew Europe</v>
      </c>
    </row>
    <row r="443" spans="1:8" x14ac:dyDescent="0.2">
      <c r="A443">
        <v>228286</v>
      </c>
      <c r="B443" t="s">
        <v>524</v>
      </c>
      <c r="C443" t="s">
        <v>20</v>
      </c>
      <c r="D443" t="s">
        <v>79</v>
      </c>
      <c r="E443" t="s">
        <v>11</v>
      </c>
      <c r="F443" s="1" t="d">
        <v>2022-01-11</v>
      </c>
      <c r="G443" s="1" t="d">
        <v>2024-07-15</v>
      </c>
      <c r="H443" t="str">
        <f>VLOOKUP(D443,Table2[],3,FALSE)</f>
        <v>S&amp;D</v>
      </c>
    </row>
    <row r="444" spans="1:8" x14ac:dyDescent="0.2">
      <c r="A444">
        <v>124988</v>
      </c>
      <c r="B444" t="s">
        <v>525</v>
      </c>
      <c r="C444" t="s">
        <v>64</v>
      </c>
      <c r="D444" t="s">
        <v>10</v>
      </c>
      <c r="E444" t="s">
        <v>11</v>
      </c>
      <c r="F444" s="1" t="d">
        <v>2020-02-01</v>
      </c>
      <c r="G444" s="1" t="d">
        <v>2024-07-15</v>
      </c>
      <c r="H444" t="str">
        <f>VLOOKUP(D444,Table2[],3,FALSE)</f>
        <v>EPP</v>
      </c>
    </row>
    <row r="445" spans="1:8" x14ac:dyDescent="0.2">
      <c r="A445">
        <v>96734</v>
      </c>
      <c r="B445" t="s">
        <v>526</v>
      </c>
      <c r="C445" t="s">
        <v>20</v>
      </c>
      <c r="D445" t="s">
        <v>28</v>
      </c>
      <c r="E445" t="s">
        <v>527</v>
      </c>
      <c r="F445" s="1" t="d">
        <v>2019-07-02</v>
      </c>
      <c r="G445" s="1" t="d">
        <v>2022-09-13</v>
      </c>
      <c r="H445" t="str">
        <f>VLOOKUP(D445,Table2[],3,FALSE)</f>
        <v>Greens/EFA</v>
      </c>
    </row>
    <row r="446" spans="1:8" x14ac:dyDescent="0.2">
      <c r="A446">
        <v>114268</v>
      </c>
      <c r="B446" t="s">
        <v>528</v>
      </c>
      <c r="C446" t="s">
        <v>37</v>
      </c>
      <c r="D446" t="s">
        <v>66</v>
      </c>
      <c r="E446" t="s">
        <v>11</v>
      </c>
      <c r="F446" s="1" t="d">
        <v>2019-07-02</v>
      </c>
      <c r="G446" s="1" t="d">
        <v>2024-07-15</v>
      </c>
      <c r="H446" t="str">
        <f>VLOOKUP(D446,Table2[],3,FALSE)</f>
        <v>Renew Europe</v>
      </c>
    </row>
    <row r="447" spans="1:8" x14ac:dyDescent="0.2">
      <c r="A447">
        <v>197585</v>
      </c>
      <c r="B447" t="s">
        <v>529</v>
      </c>
      <c r="C447" t="s">
        <v>23</v>
      </c>
      <c r="D447" t="s">
        <v>66</v>
      </c>
      <c r="E447" t="s">
        <v>11</v>
      </c>
      <c r="F447" s="1" t="d">
        <v>2019-07-02</v>
      </c>
      <c r="G447" s="1" t="d">
        <v>2024-07-15</v>
      </c>
      <c r="H447" t="str">
        <f>VLOOKUP(D447,Table2[],3,FALSE)</f>
        <v>Renew Europe</v>
      </c>
    </row>
    <row r="448" spans="1:8" x14ac:dyDescent="0.2">
      <c r="A448">
        <v>197412</v>
      </c>
      <c r="B448" t="s">
        <v>530</v>
      </c>
      <c r="C448" t="s">
        <v>20</v>
      </c>
      <c r="D448" t="s">
        <v>10</v>
      </c>
      <c r="E448" t="s">
        <v>11</v>
      </c>
      <c r="F448" s="1" t="d">
        <v>2019-07-02</v>
      </c>
      <c r="G448" s="1" t="d">
        <v>2024-07-15</v>
      </c>
      <c r="H448" t="str">
        <f>VLOOKUP(D448,Table2[],3,FALSE)</f>
        <v>EPP</v>
      </c>
    </row>
    <row r="449" spans="1:8" x14ac:dyDescent="0.2">
      <c r="A449">
        <v>197641</v>
      </c>
      <c r="B449" t="s">
        <v>531</v>
      </c>
      <c r="C449" t="s">
        <v>71</v>
      </c>
      <c r="D449" t="s">
        <v>79</v>
      </c>
      <c r="E449" t="s">
        <v>11</v>
      </c>
      <c r="F449" s="1" t="d">
        <v>2019-07-02</v>
      </c>
      <c r="G449" s="1" t="d">
        <v>2024-07-15</v>
      </c>
      <c r="H449" t="str">
        <f>VLOOKUP(D449,Table2[],3,FALSE)</f>
        <v>S&amp;D</v>
      </c>
    </row>
    <row r="450" spans="1:8" x14ac:dyDescent="0.2">
      <c r="A450">
        <v>201945</v>
      </c>
      <c r="B450" t="s">
        <v>532</v>
      </c>
      <c r="C450" t="s">
        <v>161</v>
      </c>
      <c r="D450" t="s">
        <v>51</v>
      </c>
      <c r="E450" t="s">
        <v>31</v>
      </c>
      <c r="F450" s="1" t="d">
        <v>2024-11-13</v>
      </c>
      <c r="H450" t="str">
        <f>VLOOKUP(D450,Table2[],3,FALSE)</f>
        <v>Greens/EFA</v>
      </c>
    </row>
    <row r="451" spans="1:8" x14ac:dyDescent="0.2">
      <c r="A451">
        <v>28400</v>
      </c>
      <c r="B451" t="s">
        <v>533</v>
      </c>
      <c r="C451" t="s">
        <v>13</v>
      </c>
      <c r="D451" t="s">
        <v>107</v>
      </c>
      <c r="E451" t="s">
        <v>11</v>
      </c>
      <c r="F451" s="1" t="d">
        <v>2014-07-01</v>
      </c>
      <c r="G451" s="1" t="d">
        <v>2019-07-01</v>
      </c>
      <c r="H451" t="str">
        <f>VLOOKUP(D451,Table2[],3,FALSE)</f>
        <v>EPP</v>
      </c>
    </row>
    <row r="452" spans="1:8" x14ac:dyDescent="0.2">
      <c r="A452">
        <v>197651</v>
      </c>
      <c r="B452" t="s">
        <v>534</v>
      </c>
      <c r="C452" t="s">
        <v>83</v>
      </c>
      <c r="D452" t="s">
        <v>79</v>
      </c>
      <c r="E452" t="s">
        <v>11</v>
      </c>
      <c r="F452" s="1" t="d">
        <v>2019-07-02</v>
      </c>
      <c r="G452" s="1" t="d">
        <v>2024-07-15</v>
      </c>
      <c r="H452" t="str">
        <f>VLOOKUP(D452,Table2[],3,FALSE)</f>
        <v>S&amp;D</v>
      </c>
    </row>
    <row r="453" spans="1:8" x14ac:dyDescent="0.2">
      <c r="A453">
        <v>197616</v>
      </c>
      <c r="B453" t="s">
        <v>535</v>
      </c>
      <c r="C453" t="s">
        <v>54</v>
      </c>
      <c r="D453" t="s">
        <v>24</v>
      </c>
      <c r="E453" t="s">
        <v>11</v>
      </c>
      <c r="F453" s="1" t="d">
        <v>2019-07-02</v>
      </c>
      <c r="G453" s="1" t="d">
        <v>2024-07-15</v>
      </c>
      <c r="H453" t="str">
        <f>VLOOKUP(D453,Table2[],3,FALSE)</f>
        <v>ID</v>
      </c>
    </row>
    <row r="454" spans="1:8" x14ac:dyDescent="0.2">
      <c r="A454">
        <v>209896</v>
      </c>
      <c r="B454" t="s">
        <v>536</v>
      </c>
      <c r="C454" t="s">
        <v>64</v>
      </c>
      <c r="D454" t="s">
        <v>10</v>
      </c>
      <c r="E454" t="s">
        <v>11</v>
      </c>
      <c r="F454" s="1" t="d">
        <v>2020-11-24</v>
      </c>
      <c r="G454" s="1" t="d">
        <v>2024-07-15</v>
      </c>
      <c r="H454" t="str">
        <f>VLOOKUP(D454,Table2[],3,FALSE)</f>
        <v>EPP</v>
      </c>
    </row>
    <row r="455" spans="1:8" x14ac:dyDescent="0.2">
      <c r="A455">
        <v>197441</v>
      </c>
      <c r="B455" t="s">
        <v>537</v>
      </c>
      <c r="C455" t="s">
        <v>155</v>
      </c>
      <c r="D455" t="s">
        <v>79</v>
      </c>
      <c r="E455" t="s">
        <v>11</v>
      </c>
      <c r="F455" s="1" t="d">
        <v>2019-07-02</v>
      </c>
      <c r="G455" s="1" t="d">
        <v>2024-07-15</v>
      </c>
      <c r="H455" t="str">
        <f>VLOOKUP(D455,Table2[],3,FALSE)</f>
        <v>S&amp;D</v>
      </c>
    </row>
    <row r="456" spans="1:8" x14ac:dyDescent="0.2">
      <c r="A456">
        <v>124734</v>
      </c>
      <c r="B456" t="s">
        <v>538</v>
      </c>
      <c r="C456" t="s">
        <v>71</v>
      </c>
      <c r="D456" t="s">
        <v>107</v>
      </c>
      <c r="E456" t="s">
        <v>11</v>
      </c>
      <c r="F456" s="1" t="d">
        <v>2014-07-01</v>
      </c>
      <c r="G456" s="1" t="d">
        <v>2019-07-01</v>
      </c>
      <c r="H456" t="str">
        <f>VLOOKUP(D456,Table2[],3,FALSE)</f>
        <v>EPP</v>
      </c>
    </row>
    <row r="457" spans="1:8" x14ac:dyDescent="0.2">
      <c r="A457">
        <v>189065</v>
      </c>
      <c r="B457" t="s">
        <v>539</v>
      </c>
      <c r="C457" t="s">
        <v>23</v>
      </c>
      <c r="D457" t="s">
        <v>40</v>
      </c>
      <c r="E457" t="s">
        <v>11</v>
      </c>
      <c r="F457" s="1" t="d">
        <v>2024-07-16</v>
      </c>
      <c r="H457" t="str">
        <f>VLOOKUP(D457,Table2[],3,FALSE)</f>
        <v>PfE</v>
      </c>
    </row>
    <row r="458" spans="1:8" x14ac:dyDescent="0.2">
      <c r="A458">
        <v>124708</v>
      </c>
      <c r="B458" t="s">
        <v>540</v>
      </c>
      <c r="C458" t="s">
        <v>101</v>
      </c>
      <c r="D458" t="s">
        <v>333</v>
      </c>
      <c r="E458" t="s">
        <v>11</v>
      </c>
      <c r="F458" s="1" t="d">
        <v>2014-07-01</v>
      </c>
      <c r="G458" s="1" t="d">
        <v>2019-07-01</v>
      </c>
      <c r="H458" t="str">
        <f>VLOOKUP(D458,Table2[],3,FALSE)</f>
        <v>Renew Europe</v>
      </c>
    </row>
    <row r="459" spans="1:8" x14ac:dyDescent="0.2">
      <c r="A459">
        <v>197482</v>
      </c>
      <c r="B459" t="s">
        <v>541</v>
      </c>
      <c r="C459" t="s">
        <v>20</v>
      </c>
      <c r="D459" t="s">
        <v>24</v>
      </c>
      <c r="E459" t="s">
        <v>11</v>
      </c>
      <c r="F459" s="1" t="d">
        <v>2019-07-02</v>
      </c>
      <c r="G459" s="1" t="d">
        <v>2024-05-22</v>
      </c>
      <c r="H459" t="str">
        <f>VLOOKUP(D459,Table2[],3,FALSE)</f>
        <v>ID</v>
      </c>
    </row>
    <row r="460" spans="1:8" x14ac:dyDescent="0.2">
      <c r="A460">
        <v>124873</v>
      </c>
      <c r="B460" t="s">
        <v>542</v>
      </c>
      <c r="C460" t="s">
        <v>77</v>
      </c>
      <c r="D460" t="s">
        <v>167</v>
      </c>
      <c r="E460" t="s">
        <v>11</v>
      </c>
      <c r="F460" s="1" t="d">
        <v>2014-07-01</v>
      </c>
      <c r="G460" s="1" t="d">
        <v>2017-01-15</v>
      </c>
      <c r="H460" t="str">
        <f>VLOOKUP(D460,Table2[],3,FALSE)</f>
        <v>ECR</v>
      </c>
    </row>
    <row r="461" spans="1:8" x14ac:dyDescent="0.2">
      <c r="A461">
        <v>124856</v>
      </c>
      <c r="B461" t="s">
        <v>543</v>
      </c>
      <c r="C461" t="s">
        <v>54</v>
      </c>
      <c r="D461" t="s">
        <v>90</v>
      </c>
      <c r="E461" t="s">
        <v>11</v>
      </c>
      <c r="F461" s="1" t="d">
        <v>2019-07-02</v>
      </c>
      <c r="G461" s="1" t="d">
        <v>2020-12-08</v>
      </c>
      <c r="H461" t="str">
        <f>VLOOKUP(D461,Table2[],3,FALSE)</f>
        <v>EPP</v>
      </c>
    </row>
    <row r="462" spans="1:8" x14ac:dyDescent="0.2">
      <c r="A462">
        <v>197495</v>
      </c>
      <c r="B462" t="s">
        <v>544</v>
      </c>
      <c r="C462" t="s">
        <v>68</v>
      </c>
      <c r="D462" t="s">
        <v>79</v>
      </c>
      <c r="E462" t="s">
        <v>11</v>
      </c>
      <c r="F462" s="1" t="d">
        <v>2019-07-02</v>
      </c>
      <c r="G462" s="1" t="d">
        <v>2024-07-15</v>
      </c>
      <c r="H462" t="str">
        <f>VLOOKUP(D462,Table2[],3,FALSE)</f>
        <v>S&amp;D</v>
      </c>
    </row>
    <row r="463" spans="1:8" x14ac:dyDescent="0.2">
      <c r="A463">
        <v>197645</v>
      </c>
      <c r="B463" t="s">
        <v>545</v>
      </c>
      <c r="C463" t="s">
        <v>71</v>
      </c>
      <c r="D463" t="s">
        <v>28</v>
      </c>
      <c r="E463" t="s">
        <v>11</v>
      </c>
      <c r="F463" s="1" t="d">
        <v>2019-07-02</v>
      </c>
      <c r="G463" s="1" t="d">
        <v>2024-07-15</v>
      </c>
      <c r="H463" t="str">
        <f>VLOOKUP(D463,Table2[],3,FALSE)</f>
        <v>Greens/EFA</v>
      </c>
    </row>
    <row r="464" spans="1:8" x14ac:dyDescent="0.2">
      <c r="A464">
        <v>197808</v>
      </c>
      <c r="B464" t="s">
        <v>546</v>
      </c>
      <c r="C464" t="s">
        <v>54</v>
      </c>
      <c r="D464" t="s">
        <v>79</v>
      </c>
      <c r="E464" t="s">
        <v>11</v>
      </c>
      <c r="F464" s="1" t="d">
        <v>2019-07-02</v>
      </c>
      <c r="G464" s="1" t="d">
        <v>2024-07-15</v>
      </c>
      <c r="H464" t="str">
        <f>VLOOKUP(D464,Table2[],3,FALSE)</f>
        <v>S&amp;D</v>
      </c>
    </row>
    <row r="465" spans="1:8" x14ac:dyDescent="0.2">
      <c r="A465">
        <v>35016</v>
      </c>
      <c r="B465" t="s">
        <v>547</v>
      </c>
      <c r="C465" t="s">
        <v>54</v>
      </c>
      <c r="D465" t="s">
        <v>24</v>
      </c>
      <c r="E465" t="s">
        <v>11</v>
      </c>
      <c r="F465" s="1" t="d">
        <v>2019-07-02</v>
      </c>
      <c r="G465" s="1" t="d">
        <v>2024-07-15</v>
      </c>
      <c r="H465" t="str">
        <f>VLOOKUP(D465,Table2[],3,FALSE)</f>
        <v>ID</v>
      </c>
    </row>
    <row r="466" spans="1:8" x14ac:dyDescent="0.2">
      <c r="A466">
        <v>247709</v>
      </c>
      <c r="B466" t="s">
        <v>548</v>
      </c>
      <c r="C466" t="s">
        <v>16</v>
      </c>
      <c r="D466" t="s">
        <v>90</v>
      </c>
      <c r="E466" t="s">
        <v>11</v>
      </c>
      <c r="F466" s="1" t="d">
        <v>2023-09-05</v>
      </c>
      <c r="G466" s="1" t="d">
        <v>2023-09-13</v>
      </c>
      <c r="H466" t="str">
        <f>VLOOKUP(D466,Table2[],3,FALSE)</f>
        <v>EPP</v>
      </c>
    </row>
    <row r="467" spans="1:8" x14ac:dyDescent="0.2">
      <c r="A467">
        <v>28115</v>
      </c>
      <c r="B467" t="s">
        <v>549</v>
      </c>
      <c r="C467" t="s">
        <v>64</v>
      </c>
      <c r="D467" t="s">
        <v>10</v>
      </c>
      <c r="E467" t="s">
        <v>18</v>
      </c>
      <c r="F467" s="1" t="d">
        <v>2019-09-17</v>
      </c>
      <c r="G467" s="1" t="d">
        <v>2020-10-11</v>
      </c>
      <c r="H467" t="str">
        <f>VLOOKUP(D467,Table2[],3,FALSE)</f>
        <v>EPP</v>
      </c>
    </row>
    <row r="468" spans="1:8" x14ac:dyDescent="0.2">
      <c r="A468">
        <v>197563</v>
      </c>
      <c r="B468" t="s">
        <v>550</v>
      </c>
      <c r="C468" t="s">
        <v>37</v>
      </c>
      <c r="D468" t="s">
        <v>66</v>
      </c>
      <c r="E468" t="s">
        <v>11</v>
      </c>
      <c r="F468" s="1" t="d">
        <v>2019-07-02</v>
      </c>
      <c r="G468" s="1" t="d">
        <v>2024-07-15</v>
      </c>
      <c r="H468" t="str">
        <f>VLOOKUP(D468,Table2[],3,FALSE)</f>
        <v>Renew Europe</v>
      </c>
    </row>
    <row r="469" spans="1:8" x14ac:dyDescent="0.2">
      <c r="A469">
        <v>197457</v>
      </c>
      <c r="B469" t="s">
        <v>551</v>
      </c>
      <c r="C469" t="s">
        <v>20</v>
      </c>
      <c r="D469" t="s">
        <v>28</v>
      </c>
      <c r="E469" t="s">
        <v>11</v>
      </c>
      <c r="F469" s="1" t="d">
        <v>2019-07-02</v>
      </c>
      <c r="G469" s="1" t="d">
        <v>2024-07-15</v>
      </c>
      <c r="H469" t="str">
        <f>VLOOKUP(D469,Table2[],3,FALSE)</f>
        <v>Greens/EFA</v>
      </c>
    </row>
    <row r="470" spans="1:8" x14ac:dyDescent="0.2">
      <c r="A470">
        <v>24505</v>
      </c>
      <c r="B470" t="s">
        <v>552</v>
      </c>
      <c r="C470" t="s">
        <v>23</v>
      </c>
      <c r="D470" t="s">
        <v>38</v>
      </c>
      <c r="E470" t="s">
        <v>11</v>
      </c>
      <c r="F470" s="1" t="d">
        <v>2019-07-02</v>
      </c>
      <c r="G470" s="1" t="d">
        <v>2020-12-17</v>
      </c>
      <c r="H470" t="str">
        <f>VLOOKUP(D470,Table2[],3,FALSE)</f>
        <v>The Left</v>
      </c>
    </row>
    <row r="471" spans="1:8" x14ac:dyDescent="0.2">
      <c r="A471">
        <v>197649</v>
      </c>
      <c r="B471" t="s">
        <v>553</v>
      </c>
      <c r="C471" t="s">
        <v>83</v>
      </c>
      <c r="D471" t="s">
        <v>30</v>
      </c>
      <c r="E471" t="s">
        <v>11</v>
      </c>
      <c r="F471" s="1" t="d">
        <v>2024-07-16</v>
      </c>
      <c r="H471" t="str">
        <f>VLOOKUP(D471,Table2[],3,FALSE)</f>
        <v>EPP</v>
      </c>
    </row>
    <row r="472" spans="1:8" x14ac:dyDescent="0.2">
      <c r="A472">
        <v>4560</v>
      </c>
      <c r="B472" t="s">
        <v>554</v>
      </c>
      <c r="C472" t="s">
        <v>16</v>
      </c>
      <c r="D472" t="s">
        <v>555</v>
      </c>
      <c r="E472" t="s">
        <v>11</v>
      </c>
      <c r="F472" s="1" t="d">
        <v>2009-07-14</v>
      </c>
      <c r="G472" s="1" t="d">
        <v>2014-06-30</v>
      </c>
      <c r="H472" t="str">
        <f>VLOOKUP(D472,Table2[],3,FALSE)</f>
        <v>EPP</v>
      </c>
    </row>
    <row r="473" spans="1:8" x14ac:dyDescent="0.2">
      <c r="A473">
        <v>1917</v>
      </c>
      <c r="B473" t="s">
        <v>556</v>
      </c>
      <c r="C473" t="s">
        <v>20</v>
      </c>
      <c r="D473" t="s">
        <v>557</v>
      </c>
      <c r="E473" t="s">
        <v>11</v>
      </c>
      <c r="F473" s="1" t="d">
        <v>1994-07-19</v>
      </c>
      <c r="G473" s="1" t="d">
        <v>1999-07-19</v>
      </c>
      <c r="H473" t="str">
        <f>VLOOKUP(D473,Table2[],3,FALSE)</f>
        <v>EPP</v>
      </c>
    </row>
    <row r="474" spans="1:8" x14ac:dyDescent="0.2">
      <c r="A474">
        <v>23768</v>
      </c>
      <c r="B474" t="s">
        <v>558</v>
      </c>
      <c r="C474" t="s">
        <v>68</v>
      </c>
      <c r="D474" t="s">
        <v>559</v>
      </c>
      <c r="E474" t="s">
        <v>171</v>
      </c>
      <c r="F474" s="1" t="d">
        <v>2003-04-23</v>
      </c>
      <c r="G474" s="1" t="d">
        <v>2004-04-30</v>
      </c>
      <c r="H474" t="str">
        <f>VLOOKUP(D474,Table2[],3,FALSE)</f>
        <v>S&amp;D</v>
      </c>
    </row>
    <row r="475" spans="1:8" x14ac:dyDescent="0.2">
      <c r="A475">
        <v>197844</v>
      </c>
      <c r="B475" t="s">
        <v>560</v>
      </c>
      <c r="C475" t="s">
        <v>77</v>
      </c>
      <c r="D475" t="s">
        <v>79</v>
      </c>
      <c r="E475" t="s">
        <v>11</v>
      </c>
      <c r="F475" s="1" t="d">
        <v>2019-07-02</v>
      </c>
      <c r="G475" s="1" t="d">
        <v>2024-07-15</v>
      </c>
      <c r="H475" t="str">
        <f>VLOOKUP(D475,Table2[],3,FALSE)</f>
        <v>S&amp;D</v>
      </c>
    </row>
    <row r="476" spans="1:8" x14ac:dyDescent="0.2">
      <c r="A476">
        <v>197608</v>
      </c>
      <c r="B476" t="s">
        <v>561</v>
      </c>
      <c r="C476" t="s">
        <v>54</v>
      </c>
      <c r="D476" t="s">
        <v>24</v>
      </c>
      <c r="E476" t="s">
        <v>11</v>
      </c>
      <c r="F476" s="1" t="d">
        <v>2019-07-02</v>
      </c>
      <c r="G476" s="1" t="d">
        <v>2024-07-15</v>
      </c>
      <c r="H476" t="str">
        <f>VLOOKUP(D476,Table2[],3,FALSE)</f>
        <v>ID</v>
      </c>
    </row>
    <row r="477" spans="1:8" x14ac:dyDescent="0.2">
      <c r="A477">
        <v>197846</v>
      </c>
      <c r="B477" t="s">
        <v>562</v>
      </c>
      <c r="C477" t="s">
        <v>77</v>
      </c>
      <c r="D477" t="s">
        <v>79</v>
      </c>
      <c r="E477" t="s">
        <v>11</v>
      </c>
      <c r="F477" s="1" t="d">
        <v>2019-07-02</v>
      </c>
      <c r="G477" s="1" t="d">
        <v>2024-07-15</v>
      </c>
      <c r="H477" t="str">
        <f>VLOOKUP(D477,Table2[],3,FALSE)</f>
        <v>S&amp;D</v>
      </c>
    </row>
    <row r="478" spans="1:8" x14ac:dyDescent="0.2">
      <c r="A478">
        <v>96739</v>
      </c>
      <c r="B478" t="s">
        <v>563</v>
      </c>
      <c r="C478" t="s">
        <v>20</v>
      </c>
      <c r="D478" t="s">
        <v>28</v>
      </c>
      <c r="E478" t="s">
        <v>11</v>
      </c>
      <c r="F478" s="1" t="d">
        <v>2019-07-02</v>
      </c>
      <c r="G478" s="1" t="d">
        <v>2024-07-15</v>
      </c>
      <c r="H478" t="str">
        <f>VLOOKUP(D478,Table2[],3,FALSE)</f>
        <v>Greens/EFA</v>
      </c>
    </row>
    <row r="479" spans="1:8" x14ac:dyDescent="0.2">
      <c r="A479">
        <v>197607</v>
      </c>
      <c r="B479" t="s">
        <v>564</v>
      </c>
      <c r="C479" t="s">
        <v>54</v>
      </c>
      <c r="D479" t="s">
        <v>35</v>
      </c>
      <c r="E479" t="s">
        <v>11</v>
      </c>
      <c r="F479" s="1" t="d">
        <v>2019-07-02</v>
      </c>
      <c r="G479" s="1" t="d">
        <v>2024-07-15</v>
      </c>
      <c r="H479" t="str">
        <f>VLOOKUP(D479,Table2[],3,FALSE)</f>
        <v>ECR</v>
      </c>
    </row>
    <row r="480" spans="1:8" x14ac:dyDescent="0.2">
      <c r="A480">
        <v>197539</v>
      </c>
      <c r="B480" t="s">
        <v>565</v>
      </c>
      <c r="C480" t="s">
        <v>101</v>
      </c>
      <c r="D480" t="s">
        <v>28</v>
      </c>
      <c r="E480" t="s">
        <v>11</v>
      </c>
      <c r="F480" s="1" t="d">
        <v>2019-07-02</v>
      </c>
      <c r="G480" s="1" t="d">
        <v>2024-07-15</v>
      </c>
      <c r="H480" t="str">
        <f>VLOOKUP(D480,Table2[],3,FALSE)</f>
        <v>Greens/EFA</v>
      </c>
    </row>
    <row r="481" spans="1:8" x14ac:dyDescent="0.2">
      <c r="A481">
        <v>197624</v>
      </c>
      <c r="B481" t="s">
        <v>566</v>
      </c>
      <c r="C481" t="s">
        <v>223</v>
      </c>
      <c r="D481" t="s">
        <v>17</v>
      </c>
      <c r="E481" t="s">
        <v>18</v>
      </c>
      <c r="F481" s="1" t="d">
        <v>2024-07-16</v>
      </c>
      <c r="H481" t="str">
        <f>VLOOKUP(D481,Table2[],3,FALSE)</f>
        <v>Renew Europe</v>
      </c>
    </row>
    <row r="482" spans="1:8" x14ac:dyDescent="0.2">
      <c r="A482">
        <v>197394</v>
      </c>
      <c r="B482" t="s">
        <v>567</v>
      </c>
      <c r="C482" t="s">
        <v>9</v>
      </c>
      <c r="D482" t="s">
        <v>79</v>
      </c>
      <c r="E482" t="s">
        <v>11</v>
      </c>
      <c r="F482" s="1" t="d">
        <v>2019-07-02</v>
      </c>
      <c r="G482" s="1" t="d">
        <v>2024-07-15</v>
      </c>
      <c r="H482" t="str">
        <f>VLOOKUP(D482,Table2[],3,FALSE)</f>
        <v>S&amp;D</v>
      </c>
    </row>
    <row r="483" spans="1:8" x14ac:dyDescent="0.2">
      <c r="A483">
        <v>198176</v>
      </c>
      <c r="B483" t="s">
        <v>568</v>
      </c>
      <c r="C483" t="s">
        <v>47</v>
      </c>
      <c r="D483" t="s">
        <v>24</v>
      </c>
      <c r="E483" t="s">
        <v>11</v>
      </c>
      <c r="F483" s="1" t="d">
        <v>2019-07-02</v>
      </c>
      <c r="G483" s="1" t="d">
        <v>2024-07-15</v>
      </c>
      <c r="H483" t="str">
        <f>VLOOKUP(D483,Table2[],3,FALSE)</f>
        <v>ID</v>
      </c>
    </row>
    <row r="484" spans="1:8" x14ac:dyDescent="0.2">
      <c r="A484">
        <v>245858</v>
      </c>
      <c r="B484" t="s">
        <v>569</v>
      </c>
      <c r="C484" t="s">
        <v>20</v>
      </c>
      <c r="D484" t="s">
        <v>79</v>
      </c>
      <c r="E484" t="s">
        <v>11</v>
      </c>
      <c r="F484" s="1" t="d">
        <v>2023-07-03</v>
      </c>
      <c r="G484" s="1" t="d">
        <v>2024-07-15</v>
      </c>
      <c r="H484" t="str">
        <f>VLOOKUP(D484,Table2[],3,FALSE)</f>
        <v>S&amp;D</v>
      </c>
    </row>
    <row r="485" spans="1:8" x14ac:dyDescent="0.2">
      <c r="A485">
        <v>96801</v>
      </c>
      <c r="B485" t="s">
        <v>570</v>
      </c>
      <c r="C485" t="s">
        <v>68</v>
      </c>
      <c r="D485" t="s">
        <v>35</v>
      </c>
      <c r="E485" t="s">
        <v>18</v>
      </c>
      <c r="F485" s="1" t="d">
        <v>2019-07-02</v>
      </c>
      <c r="G485" s="1" t="d">
        <v>2024-07-15</v>
      </c>
      <c r="H485" t="str">
        <f>VLOOKUP(D485,Table2[],3,FALSE)</f>
        <v>ECR</v>
      </c>
    </row>
    <row r="486" spans="1:8" x14ac:dyDescent="0.2">
      <c r="A486">
        <v>197655</v>
      </c>
      <c r="B486" t="s">
        <v>571</v>
      </c>
      <c r="C486" t="s">
        <v>83</v>
      </c>
      <c r="D486" t="s">
        <v>35</v>
      </c>
      <c r="E486" t="s">
        <v>18</v>
      </c>
      <c r="F486" s="1" t="d">
        <v>2020-05-14</v>
      </c>
      <c r="G486" s="1" t="d">
        <v>2024-07-15</v>
      </c>
      <c r="H486" t="str">
        <f>VLOOKUP(D486,Table2[],3,FALSE)</f>
        <v>ECR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44"/>
  <sheetViews>
    <sheetView workbookViewId="0">
      <selection activeCell="G38" sqref="G38"/>
    </sheetView>
  </sheetViews>
  <sheetFormatPr baseColWidth="10" defaultRowHeight="16" x14ac:dyDescent="0.2"/>
  <cols>
    <col min="1" max="1" width="21.1640625" customWidth="1"/>
    <col min="2" max="2" width="13.83203125" customWidth="1"/>
  </cols>
  <sheetData>
    <row r="1" spans="1:3" x14ac:dyDescent="0.2">
      <c r="A1" t="s">
        <v>3</v>
      </c>
      <c r="B1" t="s">
        <v>572</v>
      </c>
      <c r="C1" t="s">
        <v>573</v>
      </c>
    </row>
    <row r="2" spans="1:3" x14ac:dyDescent="0.2">
      <c r="A2" t="s">
        <v>10</v>
      </c>
      <c r="B2" t="s">
        <v>574</v>
      </c>
      <c r="C2" t="s">
        <v>574</v>
      </c>
    </row>
    <row r="3" spans="1:3" x14ac:dyDescent="0.2">
      <c r="A3" t="s">
        <v>14</v>
      </c>
      <c r="C3" t="s">
        <v>578</v>
      </c>
    </row>
    <row r="4" spans="1:3" x14ac:dyDescent="0.2">
      <c r="A4" t="s">
        <v>17</v>
      </c>
      <c r="C4" t="s">
        <v>576</v>
      </c>
    </row>
    <row r="5" spans="1:3" x14ac:dyDescent="0.2">
      <c r="A5" t="s">
        <v>21</v>
      </c>
      <c r="C5" t="s">
        <v>577</v>
      </c>
    </row>
    <row r="6" spans="1:3" x14ac:dyDescent="0.2">
      <c r="A6" t="s">
        <v>24</v>
      </c>
      <c r="C6" t="s">
        <v>582</v>
      </c>
    </row>
    <row r="7" spans="1:3" x14ac:dyDescent="0.2">
      <c r="A7" t="s">
        <v>26</v>
      </c>
      <c r="C7" t="s">
        <v>579</v>
      </c>
    </row>
    <row r="8" spans="1:3" x14ac:dyDescent="0.2">
      <c r="A8" t="s">
        <v>28</v>
      </c>
      <c r="C8" t="s">
        <v>577</v>
      </c>
    </row>
    <row r="9" spans="1:3" x14ac:dyDescent="0.2">
      <c r="A9" t="s">
        <v>30</v>
      </c>
      <c r="B9" t="s">
        <v>574</v>
      </c>
      <c r="C9" t="s">
        <v>574</v>
      </c>
    </row>
    <row r="10" spans="1:3" x14ac:dyDescent="0.2">
      <c r="A10" t="s">
        <v>33</v>
      </c>
      <c r="C10" t="s">
        <v>574</v>
      </c>
    </row>
    <row r="11" spans="1:3" x14ac:dyDescent="0.2">
      <c r="A11" t="s">
        <v>35</v>
      </c>
      <c r="C11" t="s">
        <v>580</v>
      </c>
    </row>
    <row r="12" spans="1:3" x14ac:dyDescent="0.2">
      <c r="A12" t="s">
        <v>38</v>
      </c>
      <c r="C12" t="s">
        <v>579</v>
      </c>
    </row>
    <row r="13" spans="1:3" x14ac:dyDescent="0.2">
      <c r="A13" t="s">
        <v>40</v>
      </c>
      <c r="C13" t="s">
        <v>581</v>
      </c>
    </row>
    <row r="14" spans="1:3" x14ac:dyDescent="0.2">
      <c r="A14" t="s">
        <v>48</v>
      </c>
      <c r="C14" t="s">
        <v>578</v>
      </c>
    </row>
    <row r="15" spans="1:3" x14ac:dyDescent="0.2">
      <c r="A15" t="s">
        <v>51</v>
      </c>
      <c r="C15" t="s">
        <v>577</v>
      </c>
    </row>
    <row r="16" spans="1:3" x14ac:dyDescent="0.2">
      <c r="A16" t="s">
        <v>55</v>
      </c>
      <c r="C16" t="s">
        <v>582</v>
      </c>
    </row>
    <row r="17" spans="1:3" x14ac:dyDescent="0.2">
      <c r="A17" t="s">
        <v>57</v>
      </c>
      <c r="C17" t="s">
        <v>579</v>
      </c>
    </row>
    <row r="18" spans="1:3" x14ac:dyDescent="0.2">
      <c r="A18" t="s">
        <v>66</v>
      </c>
      <c r="C18" t="s">
        <v>576</v>
      </c>
    </row>
    <row r="19" spans="1:3" x14ac:dyDescent="0.2">
      <c r="A19" t="s">
        <v>75</v>
      </c>
      <c r="C19" t="s">
        <v>578</v>
      </c>
    </row>
    <row r="20" spans="1:3" x14ac:dyDescent="0.2">
      <c r="A20" t="s">
        <v>79</v>
      </c>
      <c r="C20" t="s">
        <v>578</v>
      </c>
    </row>
    <row r="21" spans="1:3" x14ac:dyDescent="0.2">
      <c r="A21" t="s">
        <v>90</v>
      </c>
      <c r="C21" t="s">
        <v>574</v>
      </c>
    </row>
    <row r="22" spans="1:3" x14ac:dyDescent="0.2">
      <c r="A22" t="s">
        <v>98</v>
      </c>
      <c r="C22" t="s">
        <v>577</v>
      </c>
    </row>
    <row r="23" spans="1:3" x14ac:dyDescent="0.2">
      <c r="A23" t="s">
        <v>104</v>
      </c>
      <c r="C23" t="s">
        <v>583</v>
      </c>
    </row>
    <row r="24" spans="1:3" x14ac:dyDescent="0.2">
      <c r="A24" t="s">
        <v>107</v>
      </c>
      <c r="C24" t="s">
        <v>574</v>
      </c>
    </row>
    <row r="25" spans="1:3" x14ac:dyDescent="0.2">
      <c r="A25" t="s">
        <v>117</v>
      </c>
      <c r="C25" t="s">
        <v>580</v>
      </c>
    </row>
    <row r="26" spans="1:3" x14ac:dyDescent="0.2">
      <c r="A26" t="s">
        <v>136</v>
      </c>
      <c r="C26" t="s">
        <v>579</v>
      </c>
    </row>
    <row r="27" spans="1:3" x14ac:dyDescent="0.2">
      <c r="A27" t="s">
        <v>159</v>
      </c>
      <c r="C27" t="s">
        <v>580</v>
      </c>
    </row>
    <row r="28" spans="1:3" x14ac:dyDescent="0.2">
      <c r="A28" t="s">
        <v>167</v>
      </c>
      <c r="C28" t="s">
        <v>580</v>
      </c>
    </row>
    <row r="29" spans="1:3" x14ac:dyDescent="0.2">
      <c r="A29" t="s">
        <v>170</v>
      </c>
      <c r="C29" t="s">
        <v>578</v>
      </c>
    </row>
    <row r="30" spans="1:3" x14ac:dyDescent="0.2">
      <c r="A30" t="s">
        <v>179</v>
      </c>
      <c r="C30" t="s">
        <v>580</v>
      </c>
    </row>
    <row r="31" spans="1:3" x14ac:dyDescent="0.2">
      <c r="A31" t="s">
        <v>201</v>
      </c>
      <c r="C31" t="s">
        <v>577</v>
      </c>
    </row>
    <row r="32" spans="1:3" x14ac:dyDescent="0.2">
      <c r="A32" t="s">
        <v>225</v>
      </c>
      <c r="C32" t="s">
        <v>574</v>
      </c>
    </row>
    <row r="33" spans="1:3" x14ac:dyDescent="0.2">
      <c r="A33" t="s">
        <v>230</v>
      </c>
      <c r="C33" t="s">
        <v>574</v>
      </c>
    </row>
    <row r="34" spans="1:3" x14ac:dyDescent="0.2">
      <c r="A34" t="s">
        <v>239</v>
      </c>
      <c r="C34" t="s">
        <v>583</v>
      </c>
    </row>
    <row r="35" spans="1:3" x14ac:dyDescent="0.2">
      <c r="A35" t="s">
        <v>253</v>
      </c>
      <c r="C35" t="s">
        <v>574</v>
      </c>
    </row>
    <row r="36" spans="1:3" x14ac:dyDescent="0.2">
      <c r="A36" t="s">
        <v>260</v>
      </c>
      <c r="C36" t="s">
        <v>577</v>
      </c>
    </row>
    <row r="37" spans="1:3" x14ac:dyDescent="0.2">
      <c r="A37" t="s">
        <v>287</v>
      </c>
      <c r="C37" t="s">
        <v>583</v>
      </c>
    </row>
    <row r="38" spans="1:3" x14ac:dyDescent="0.2">
      <c r="A38" t="s">
        <v>329</v>
      </c>
      <c r="C38" t="s">
        <v>576</v>
      </c>
    </row>
    <row r="39" spans="1:3" x14ac:dyDescent="0.2">
      <c r="A39" t="s">
        <v>333</v>
      </c>
      <c r="C39" t="s">
        <v>576</v>
      </c>
    </row>
    <row r="40" spans="1:3" x14ac:dyDescent="0.2">
      <c r="A40" t="s">
        <v>344</v>
      </c>
      <c r="C40" t="s">
        <v>584</v>
      </c>
    </row>
    <row r="41" spans="1:3" x14ac:dyDescent="0.2">
      <c r="A41" t="s">
        <v>497</v>
      </c>
      <c r="C41" t="s">
        <v>576</v>
      </c>
    </row>
    <row r="42" spans="1:3" x14ac:dyDescent="0.2">
      <c r="A42" t="s">
        <v>555</v>
      </c>
      <c r="C42" t="s">
        <v>574</v>
      </c>
    </row>
    <row r="43" spans="1:3" x14ac:dyDescent="0.2">
      <c r="A43" t="s">
        <v>557</v>
      </c>
      <c r="C43" t="s">
        <v>574</v>
      </c>
    </row>
    <row r="44" spans="1:3" x14ac:dyDescent="0.2">
      <c r="A44" t="s">
        <v>559</v>
      </c>
      <c r="C44" t="s">
        <v>578</v>
      </c>
    </row>
  </sheetData>
  <dataConsolidate/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europarl_speakers_small_v3</vt:lpstr>
      <vt:lpstr>org_lookup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2026-05-19T19:08:46Z</dcterms:created>
  <dcterms:modified xsi:type="dcterms:W3CDTF">2026-05-19T19:08:46Z</dcterms:modified>
</cp:coreProperties>
</file>